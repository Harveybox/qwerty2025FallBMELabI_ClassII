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ayz\Desktop\生医工实验\qwerty2025FallBMELabI_ClassII\Lab4-5\"/>
    </mc:Choice>
  </mc:AlternateContent>
  <xr:revisionPtr revIDLastSave="0" documentId="8_{586F99E6-EB06-4A06-B934-29386950F1C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riginal data" sheetId="1" r:id="rId1"/>
    <sheet name="balls" sheetId="2" r:id="rId2"/>
    <sheet name="capsules" sheetId="5" r:id="rId3"/>
    <sheet name="trypan blue absorbance" sheetId="3" r:id="rId4"/>
    <sheet name="datain" sheetId="4" r:id="rId5"/>
    <sheet name="data23" sheetId="6" r:id="rId6"/>
    <sheet name="data23capsu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C18" i="3"/>
  <c r="M5" i="3"/>
  <c r="L5" i="3"/>
  <c r="K5" i="3"/>
  <c r="J5" i="3"/>
  <c r="I5" i="3"/>
  <c r="H5" i="3"/>
  <c r="G5" i="3"/>
  <c r="F5" i="3"/>
  <c r="E5" i="3"/>
  <c r="D5" i="3"/>
  <c r="C5" i="3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J11" i="5"/>
  <c r="H11" i="5"/>
  <c r="J10" i="5"/>
  <c r="H10" i="5"/>
  <c r="J9" i="5"/>
  <c r="H9" i="5"/>
  <c r="J8" i="5"/>
  <c r="H8" i="5"/>
  <c r="J7" i="5"/>
  <c r="H7" i="5"/>
  <c r="J6" i="5"/>
  <c r="H6" i="5"/>
  <c r="J5" i="5"/>
  <c r="H5" i="5"/>
  <c r="J4" i="5"/>
  <c r="H4" i="5"/>
  <c r="J3" i="5"/>
  <c r="H3" i="5"/>
  <c r="J2" i="5"/>
  <c r="H2" i="5"/>
  <c r="Q29" i="2"/>
  <c r="Q28" i="2"/>
  <c r="Q27" i="2"/>
  <c r="Q26" i="2"/>
  <c r="Q25" i="2"/>
  <c r="Q24" i="2"/>
  <c r="Q23" i="2"/>
  <c r="H23" i="2"/>
  <c r="Q22" i="2"/>
  <c r="H22" i="2"/>
  <c r="Q21" i="2"/>
  <c r="H21" i="2"/>
  <c r="Q20" i="2"/>
  <c r="H20" i="2"/>
  <c r="H19" i="2"/>
  <c r="H18" i="2"/>
  <c r="H17" i="2"/>
  <c r="H16" i="2"/>
  <c r="H15" i="2"/>
  <c r="H14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<sst xmlns="http://schemas.openxmlformats.org/spreadsheetml/2006/main" count="121" uniqueCount="74">
  <si>
    <t>&lt;&gt;</t>
  </si>
  <si>
    <t>A</t>
  </si>
  <si>
    <t>B</t>
  </si>
  <si>
    <t>C</t>
  </si>
  <si>
    <t>D</t>
  </si>
  <si>
    <t>E</t>
  </si>
  <si>
    <t>F</t>
  </si>
  <si>
    <t>G</t>
  </si>
  <si>
    <t>H</t>
  </si>
  <si>
    <t>微珠</t>
  </si>
  <si>
    <t>对照1</t>
  </si>
  <si>
    <t>对照2</t>
  </si>
  <si>
    <t>对照3</t>
  </si>
  <si>
    <t>对照4</t>
  </si>
  <si>
    <t>对照5</t>
  </si>
  <si>
    <t>对照6</t>
  </si>
  <si>
    <t>15min</t>
  </si>
  <si>
    <t>30min</t>
  </si>
  <si>
    <t>45min</t>
  </si>
  <si>
    <t>60min</t>
  </si>
  <si>
    <t>75min</t>
  </si>
  <si>
    <t>Release of Beads in 150min under Determined Parameter</t>
  </si>
  <si>
    <t>90min</t>
  </si>
  <si>
    <t>beads</t>
  </si>
  <si>
    <t>105min</t>
  </si>
  <si>
    <t>120min</t>
  </si>
  <si>
    <t>135min</t>
  </si>
  <si>
    <t>150min</t>
  </si>
  <si>
    <t>average+blank</t>
  </si>
  <si>
    <t>avarage</t>
  </si>
  <si>
    <t>std</t>
  </si>
  <si>
    <t>均值</t>
  </si>
  <si>
    <t>标准差计算</t>
  </si>
  <si>
    <t>Release of Capsules in 150min under Determined Parameter</t>
  </si>
  <si>
    <t>time</t>
  </si>
  <si>
    <t>Different Concentration of Trypan Blue and the Corresponding Absorbance under 630nm Light</t>
  </si>
  <si>
    <t>Concentration(v/v)</t>
  </si>
  <si>
    <t>blank</t>
  </si>
  <si>
    <t>Sample 1</t>
  </si>
  <si>
    <t>Sample 2</t>
  </si>
  <si>
    <t>Sample 3</t>
  </si>
  <si>
    <t>Average</t>
  </si>
  <si>
    <t>Net Absorbance</t>
  </si>
  <si>
    <t>trypan_con</t>
  </si>
  <si>
    <t>trypan_abs</t>
  </si>
  <si>
    <t>bead_abs</t>
  </si>
  <si>
    <t>capsule_abs</t>
  </si>
  <si>
    <t>n1</t>
  </si>
  <si>
    <t>n2</t>
  </si>
  <si>
    <t>n4</t>
  </si>
  <si>
    <t>n6</t>
  </si>
  <si>
    <t>n8</t>
  </si>
  <si>
    <t>n10</t>
  </si>
  <si>
    <t>n1_6</t>
  </si>
  <si>
    <t>n2_6</t>
  </si>
  <si>
    <t>n4_6</t>
  </si>
  <si>
    <t>n6_6</t>
  </si>
  <si>
    <t>n8_6</t>
  </si>
  <si>
    <t>n10_6</t>
  </si>
  <si>
    <t>n1c</t>
  </si>
  <si>
    <t>n2c</t>
  </si>
  <si>
    <t>n4c</t>
  </si>
  <si>
    <t>n6c</t>
  </si>
  <si>
    <t>n8c</t>
  </si>
  <si>
    <t>n10c</t>
  </si>
  <si>
    <t>n1c6</t>
  </si>
  <si>
    <t>n2c6</t>
  </si>
  <si>
    <t>n4c6</t>
  </si>
  <si>
    <t>n6c6</t>
  </si>
  <si>
    <t>n8c6</t>
  </si>
  <si>
    <t>n10c6</t>
  </si>
  <si>
    <t>Raw_Avg</t>
    <phoneticPr fontId="2" type="noConversion"/>
  </si>
  <si>
    <t>Blank_Avg</t>
    <phoneticPr fontId="2" type="noConversion"/>
  </si>
  <si>
    <t>Time (min)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</si>
</sst>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_ "/>
    <numFmt numFmtId="179" formatCode="0.0%"/>
  </numFmts>
  <fonts count="6" x14ac:knownFonts="1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>
      <alignment vertical="center"/>
    </xf>
    <xf numFmtId="178" fontId="0" fillId="0" borderId="2" xfId="0" applyNumberFormat="1" applyBorder="1" applyAlignment="1">
      <alignment horizontal="center" vertical="center"/>
    </xf>
    <xf numFmtId="0" fontId="1" fillId="2" borderId="0" xfId="0" applyFont="1" applyFill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178" fontId="4" fillId="3" borderId="1" xfId="0" applyNumberFormat="1" applyFont="1" applyFill="1" applyBorder="1" applyAlignment="1">
      <alignment horizontal="left" vertical="center"/>
    </xf>
    <xf numFmtId="178" fontId="5" fillId="0" borderId="1" xfId="0" applyNumberFormat="1" applyFont="1" applyBorder="1" applyAlignment="1">
      <alignment horizontal="left" vertical="center"/>
    </xf>
    <xf numFmtId="17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balls!$A$14:$A$23</c:f>
              <c:strCache>
                <c:ptCount val="10"/>
                <c:pt idx="0">
                  <c:v>15min</c:v>
                </c:pt>
                <c:pt idx="1">
                  <c:v>30min</c:v>
                </c:pt>
                <c:pt idx="2">
                  <c:v>45min</c:v>
                </c:pt>
                <c:pt idx="3">
                  <c:v>60min</c:v>
                </c:pt>
                <c:pt idx="4">
                  <c:v>75min</c:v>
                </c:pt>
                <c:pt idx="5">
                  <c:v>90min</c:v>
                </c:pt>
                <c:pt idx="6">
                  <c:v>105min</c:v>
                </c:pt>
                <c:pt idx="7">
                  <c:v>120min</c:v>
                </c:pt>
                <c:pt idx="8">
                  <c:v>135min</c:v>
                </c:pt>
                <c:pt idx="9">
                  <c:v>150min</c:v>
                </c:pt>
              </c:strCache>
            </c:strRef>
          </c:cat>
          <c:val>
            <c:numRef>
              <c:f>balls!$H$14:$H$23</c:f>
              <c:numCache>
                <c:formatCode>0.0000_ </c:formatCode>
                <c:ptCount val="10"/>
                <c:pt idx="0">
                  <c:v>2.0466666668653499E-2</c:v>
                </c:pt>
                <c:pt idx="1">
                  <c:v>2.9652777852283499E-2</c:v>
                </c:pt>
                <c:pt idx="2">
                  <c:v>4.2716665814320202E-2</c:v>
                </c:pt>
                <c:pt idx="3">
                  <c:v>4.9549998715519898E-2</c:v>
                </c:pt>
                <c:pt idx="4">
                  <c:v>5.7383333643277398E-2</c:v>
                </c:pt>
                <c:pt idx="5">
                  <c:v>6.0283331821362002E-2</c:v>
                </c:pt>
                <c:pt idx="6">
                  <c:v>6.14333326617875E-2</c:v>
                </c:pt>
                <c:pt idx="7">
                  <c:v>6.2000000849366001E-2</c:v>
                </c:pt>
                <c:pt idx="8">
                  <c:v>6.3949998468160296E-2</c:v>
                </c:pt>
                <c:pt idx="9">
                  <c:v>6.5233333036303506E-2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1-45E5-B27C-4FC5942C6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64502"/>
        <c:axId val="481488153"/>
      </c:lineChart>
      <c:catAx>
        <c:axId val="35364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488153"/>
        <c:crosses val="autoZero"/>
        <c:auto val="1"/>
        <c:lblAlgn val="ctr"/>
        <c:lblOffset val="100"/>
        <c:noMultiLvlLbl val="0"/>
      </c:catAx>
      <c:valAx>
        <c:axId val="4814881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645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6ed5b1-eeef-4ddd-8492-8586fdcb93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23</xdr:row>
      <xdr:rowOff>38100</xdr:rowOff>
    </xdr:from>
    <xdr:to>
      <xdr:col>5</xdr:col>
      <xdr:colOff>514985</xdr:colOff>
      <xdr:row>36</xdr:row>
      <xdr:rowOff>157480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20</xdr:col>
      <xdr:colOff>6350</xdr:colOff>
      <xdr:row>16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3700" y="1955800"/>
          <a:ext cx="7035800" cy="90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21</xdr:col>
      <xdr:colOff>6350</xdr:colOff>
      <xdr:row>20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2667000"/>
          <a:ext cx="7035800" cy="90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13</xdr:col>
      <xdr:colOff>6350</xdr:colOff>
      <xdr:row>28</xdr:row>
      <xdr:rowOff>12700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733800"/>
          <a:ext cx="8026400" cy="1257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27" workbookViewId="0">
      <selection activeCell="H1" sqref="H1:M37"/>
    </sheetView>
  </sheetViews>
  <sheetFormatPr defaultColWidth="9" defaultRowHeight="14.4" x14ac:dyDescent="0.25"/>
  <sheetData>
    <row r="1" spans="1:13" x14ac:dyDescent="0.25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5">
      <c r="A2" s="12" t="s">
        <v>1</v>
      </c>
      <c r="B2">
        <v>5.8800000697374302E-2</v>
      </c>
      <c r="C2">
        <v>5.9500001370906802E-2</v>
      </c>
      <c r="D2">
        <v>5.5900000035762801E-2</v>
      </c>
      <c r="E2">
        <v>5.4699998348951298E-2</v>
      </c>
      <c r="F2">
        <v>5.6499999016523403E-2</v>
      </c>
      <c r="G2">
        <v>5.7100001722574199E-2</v>
      </c>
      <c r="H2">
        <v>3.6200001835823101E-2</v>
      </c>
      <c r="I2">
        <v>3.7099998444318799E-2</v>
      </c>
      <c r="J2">
        <v>3.6899998784065198E-2</v>
      </c>
      <c r="K2">
        <v>3.6200001835823101E-2</v>
      </c>
      <c r="L2">
        <v>3.6499999463558197E-2</v>
      </c>
      <c r="M2">
        <v>3.6800000816583599E-2</v>
      </c>
    </row>
    <row r="4" spans="1:13" x14ac:dyDescent="0.25">
      <c r="A4" s="12" t="s">
        <v>0</v>
      </c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  <c r="I4" s="12">
        <v>8</v>
      </c>
      <c r="J4" s="12">
        <v>9</v>
      </c>
      <c r="K4" s="12">
        <v>10</v>
      </c>
      <c r="L4" s="12">
        <v>11</v>
      </c>
      <c r="M4" s="12">
        <v>12</v>
      </c>
    </row>
    <row r="5" spans="1:13" x14ac:dyDescent="0.25">
      <c r="A5" s="12" t="s">
        <v>1</v>
      </c>
      <c r="H5">
        <v>3.6499999463558197E-2</v>
      </c>
      <c r="I5">
        <v>3.88999991118908E-2</v>
      </c>
      <c r="J5">
        <v>3.7399999797344201E-2</v>
      </c>
      <c r="K5">
        <v>3.6800000816583599E-2</v>
      </c>
      <c r="L5">
        <v>3.7099998444318799E-2</v>
      </c>
      <c r="M5">
        <v>3.7300001829862602E-2</v>
      </c>
    </row>
    <row r="6" spans="1:13" x14ac:dyDescent="0.25">
      <c r="A6" s="12" t="s">
        <v>2</v>
      </c>
      <c r="B6">
        <v>7.0100001990795094E-2</v>
      </c>
      <c r="C6">
        <v>7.0100001990795094E-2</v>
      </c>
      <c r="D6">
        <v>6.76999986171722E-2</v>
      </c>
      <c r="E6">
        <v>6.7500002682209001E-2</v>
      </c>
      <c r="F6">
        <v>6.8099997937679305E-2</v>
      </c>
      <c r="G6">
        <v>6.8999998271465302E-2</v>
      </c>
    </row>
    <row r="8" spans="1:13" x14ac:dyDescent="0.25">
      <c r="A8" s="12" t="s">
        <v>0</v>
      </c>
      <c r="B8" s="12">
        <v>1</v>
      </c>
      <c r="C8" s="12">
        <v>2</v>
      </c>
      <c r="D8" s="12">
        <v>3</v>
      </c>
      <c r="E8" s="12">
        <v>4</v>
      </c>
      <c r="F8" s="12">
        <v>5</v>
      </c>
      <c r="G8" s="12">
        <v>6</v>
      </c>
      <c r="H8" s="12">
        <v>7</v>
      </c>
      <c r="I8" s="12">
        <v>8</v>
      </c>
      <c r="J8" s="12">
        <v>9</v>
      </c>
      <c r="K8" s="12">
        <v>10</v>
      </c>
      <c r="L8" s="12">
        <v>11</v>
      </c>
      <c r="M8" s="12">
        <v>12</v>
      </c>
    </row>
    <row r="9" spans="1:13" x14ac:dyDescent="0.25">
      <c r="A9" s="12" t="s">
        <v>1</v>
      </c>
      <c r="H9">
        <v>3.6699999123811701E-2</v>
      </c>
      <c r="I9">
        <v>3.81999984383583E-2</v>
      </c>
      <c r="J9">
        <v>3.7799999117851299E-2</v>
      </c>
      <c r="K9">
        <v>3.7099998444318799E-2</v>
      </c>
      <c r="L9">
        <v>3.7399999797344201E-2</v>
      </c>
      <c r="M9">
        <v>3.7900000810623197E-2</v>
      </c>
    </row>
    <row r="10" spans="1:13" x14ac:dyDescent="0.25">
      <c r="A10" s="12" t="s">
        <v>3</v>
      </c>
      <c r="B10">
        <v>7.5099997222423595E-2</v>
      </c>
      <c r="C10">
        <v>8.1000000238418607E-2</v>
      </c>
      <c r="D10">
        <v>8.0200001597404494E-2</v>
      </c>
      <c r="E10">
        <v>8.7399996817111997E-2</v>
      </c>
      <c r="F10">
        <v>7.9099997878074604E-2</v>
      </c>
      <c r="G10">
        <v>7.8599996864795699E-2</v>
      </c>
    </row>
    <row r="12" spans="1:13" x14ac:dyDescent="0.25">
      <c r="A12" s="12" t="s">
        <v>0</v>
      </c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</row>
    <row r="13" spans="1:13" x14ac:dyDescent="0.25">
      <c r="A13" s="12" t="s">
        <v>1</v>
      </c>
      <c r="H13">
        <v>3.7200000137090697E-2</v>
      </c>
      <c r="I13">
        <v>3.8600001484155697E-2</v>
      </c>
      <c r="J13">
        <v>3.8100000470876701E-2</v>
      </c>
      <c r="K13">
        <v>3.7300001829862602E-2</v>
      </c>
      <c r="L13">
        <v>3.7599999457597698E-2</v>
      </c>
      <c r="M13">
        <v>3.7900000810623197E-2</v>
      </c>
    </row>
    <row r="14" spans="1:13" x14ac:dyDescent="0.25">
      <c r="A14" s="12" t="s">
        <v>4</v>
      </c>
      <c r="B14">
        <v>8.3499997854232802E-2</v>
      </c>
      <c r="C14">
        <v>8.9699998497962993E-2</v>
      </c>
      <c r="D14">
        <v>8.7899997830390902E-2</v>
      </c>
      <c r="E14">
        <v>8.5500001907348605E-2</v>
      </c>
      <c r="F14">
        <v>8.6999997496604906E-2</v>
      </c>
      <c r="G14">
        <v>9.0400002896785694E-2</v>
      </c>
    </row>
    <row r="16" spans="1:13" x14ac:dyDescent="0.25">
      <c r="A16" s="12" t="s">
        <v>0</v>
      </c>
      <c r="B16" s="12">
        <v>1</v>
      </c>
      <c r="C16" s="12">
        <v>2</v>
      </c>
      <c r="D16" s="12">
        <v>3</v>
      </c>
      <c r="E16" s="12">
        <v>4</v>
      </c>
      <c r="F16" s="12">
        <v>5</v>
      </c>
      <c r="G16" s="12">
        <v>6</v>
      </c>
      <c r="H16" s="12">
        <v>7</v>
      </c>
      <c r="I16" s="12">
        <v>8</v>
      </c>
      <c r="J16" s="12">
        <v>9</v>
      </c>
      <c r="K16" s="12">
        <v>10</v>
      </c>
      <c r="L16" s="12">
        <v>11</v>
      </c>
      <c r="M16" s="12">
        <v>12</v>
      </c>
    </row>
    <row r="17" spans="1:13" x14ac:dyDescent="0.25">
      <c r="A17" s="12" t="s">
        <v>1</v>
      </c>
      <c r="H17">
        <v>3.7300001829862602E-2</v>
      </c>
      <c r="I17">
        <v>3.9400000125169803E-2</v>
      </c>
      <c r="J17">
        <v>3.8300000131130198E-2</v>
      </c>
      <c r="K17">
        <v>3.7599999457597698E-2</v>
      </c>
      <c r="L17">
        <v>3.7599999457597698E-2</v>
      </c>
      <c r="M17">
        <v>3.8400001823902102E-2</v>
      </c>
    </row>
    <row r="18" spans="1:13" x14ac:dyDescent="0.25">
      <c r="A18" s="12" t="s">
        <v>5</v>
      </c>
      <c r="B18">
        <v>8.9900001883506803E-2</v>
      </c>
      <c r="C18">
        <v>9.8300002515315996E-2</v>
      </c>
      <c r="D18">
        <v>9.6100002527236897E-2</v>
      </c>
      <c r="E18">
        <v>9.3299999833106995E-2</v>
      </c>
      <c r="F18">
        <v>9.2799998819828006E-2</v>
      </c>
      <c r="G18">
        <v>0.10249999910593</v>
      </c>
    </row>
    <row r="20" spans="1:13" x14ac:dyDescent="0.25">
      <c r="A20" s="12" t="s">
        <v>0</v>
      </c>
      <c r="B20" s="12">
        <v>1</v>
      </c>
      <c r="C20" s="12">
        <v>2</v>
      </c>
      <c r="D20" s="12">
        <v>3</v>
      </c>
      <c r="E20" s="12">
        <v>4</v>
      </c>
      <c r="F20" s="12">
        <v>5</v>
      </c>
      <c r="G20" s="12">
        <v>6</v>
      </c>
      <c r="H20" s="12">
        <v>7</v>
      </c>
      <c r="I20" s="12">
        <v>8</v>
      </c>
      <c r="J20" s="12">
        <v>9</v>
      </c>
      <c r="K20" s="12">
        <v>10</v>
      </c>
      <c r="L20" s="12">
        <v>11</v>
      </c>
      <c r="M20" s="12">
        <v>12</v>
      </c>
    </row>
    <row r="21" spans="1:13" x14ac:dyDescent="0.25">
      <c r="A21" s="12" t="s">
        <v>1</v>
      </c>
      <c r="H21">
        <v>3.7500001490116099E-2</v>
      </c>
      <c r="I21">
        <v>3.8100000470876701E-2</v>
      </c>
      <c r="J21">
        <v>3.8600001484155697E-2</v>
      </c>
      <c r="K21">
        <v>3.7599999457597698E-2</v>
      </c>
      <c r="L21">
        <v>3.7700001150369603E-2</v>
      </c>
      <c r="M21">
        <v>3.8800001144409201E-2</v>
      </c>
    </row>
    <row r="22" spans="1:13" x14ac:dyDescent="0.25">
      <c r="A22" s="12" t="s">
        <v>6</v>
      </c>
      <c r="B22">
        <v>9.3999996781349196E-2</v>
      </c>
      <c r="C22">
        <v>0.107400000095367</v>
      </c>
      <c r="D22">
        <v>9.7599998116493197E-2</v>
      </c>
      <c r="E22">
        <v>0.10029999911785099</v>
      </c>
      <c r="F22">
        <v>9.3900002539157895E-2</v>
      </c>
      <c r="G22">
        <v>9.6799999475479098E-2</v>
      </c>
    </row>
    <row r="24" spans="1:13" x14ac:dyDescent="0.25">
      <c r="A24" s="12" t="s">
        <v>0</v>
      </c>
      <c r="B24" s="12">
        <v>1</v>
      </c>
      <c r="C24" s="12">
        <v>2</v>
      </c>
      <c r="D24" s="12">
        <v>3</v>
      </c>
      <c r="E24" s="12">
        <v>4</v>
      </c>
      <c r="F24" s="12">
        <v>5</v>
      </c>
      <c r="G24" s="12">
        <v>6</v>
      </c>
      <c r="H24" s="12">
        <v>7</v>
      </c>
      <c r="I24" s="12">
        <v>8</v>
      </c>
      <c r="J24" s="12">
        <v>9</v>
      </c>
      <c r="K24" s="12">
        <v>10</v>
      </c>
      <c r="L24" s="12">
        <v>11</v>
      </c>
      <c r="M24" s="12">
        <v>12</v>
      </c>
    </row>
    <row r="25" spans="1:13" x14ac:dyDescent="0.25">
      <c r="A25" s="12" t="s">
        <v>1</v>
      </c>
      <c r="H25">
        <v>3.7999998778104803E-2</v>
      </c>
      <c r="I25">
        <v>3.95999997854233E-2</v>
      </c>
      <c r="J25">
        <v>3.8800001144409201E-2</v>
      </c>
      <c r="K25">
        <v>3.7799999117851299E-2</v>
      </c>
      <c r="L25">
        <v>3.7799999117851299E-2</v>
      </c>
      <c r="M25">
        <v>4.1099999099969899E-2</v>
      </c>
    </row>
    <row r="26" spans="1:13" x14ac:dyDescent="0.25">
      <c r="A26" s="12" t="s">
        <v>7</v>
      </c>
      <c r="B26">
        <v>9.6900001168250996E-2</v>
      </c>
      <c r="C26">
        <v>0.10419999808072999</v>
      </c>
      <c r="D26">
        <v>0.101499997079372</v>
      </c>
      <c r="E26">
        <v>9.8399996757507296E-2</v>
      </c>
      <c r="F26">
        <v>9.9799998104572296E-2</v>
      </c>
      <c r="G26">
        <v>0.10090000182390201</v>
      </c>
    </row>
    <row r="28" spans="1:13" x14ac:dyDescent="0.25">
      <c r="A28" s="12" t="s">
        <v>0</v>
      </c>
      <c r="B28" s="12">
        <v>1</v>
      </c>
      <c r="C28" s="12">
        <v>2</v>
      </c>
      <c r="D28" s="12">
        <v>3</v>
      </c>
      <c r="E28" s="12">
        <v>4</v>
      </c>
      <c r="F28" s="12">
        <v>5</v>
      </c>
      <c r="G28" s="12">
        <v>6</v>
      </c>
      <c r="H28" s="12">
        <v>7</v>
      </c>
      <c r="I28" s="12">
        <v>8</v>
      </c>
      <c r="J28" s="12">
        <v>9</v>
      </c>
      <c r="K28" s="12">
        <v>10</v>
      </c>
      <c r="L28" s="12">
        <v>11</v>
      </c>
      <c r="M28" s="12">
        <v>12</v>
      </c>
    </row>
    <row r="29" spans="1:13" x14ac:dyDescent="0.25">
      <c r="A29" s="12" t="s">
        <v>1</v>
      </c>
      <c r="H29">
        <v>3.8499999791383702E-2</v>
      </c>
      <c r="I29">
        <v>3.9700001478195197E-2</v>
      </c>
      <c r="J29">
        <v>3.9299998432397801E-2</v>
      </c>
      <c r="K29">
        <v>3.7799999117851299E-2</v>
      </c>
      <c r="L29">
        <v>3.7700001150369603E-2</v>
      </c>
      <c r="M29">
        <v>4.1299998760223403E-2</v>
      </c>
    </row>
    <row r="30" spans="1:13" x14ac:dyDescent="0.25">
      <c r="A30" s="12" t="s">
        <v>8</v>
      </c>
      <c r="B30">
        <v>9.8399996757507296E-2</v>
      </c>
      <c r="C30">
        <v>0.10530000180005999</v>
      </c>
      <c r="D30">
        <v>0.102099999785423</v>
      </c>
      <c r="E30">
        <v>0.10000000149011599</v>
      </c>
      <c r="F30">
        <v>0.100100003182888</v>
      </c>
      <c r="G30">
        <v>0.100400000810623</v>
      </c>
    </row>
    <row r="32" spans="1:13" x14ac:dyDescent="0.25">
      <c r="A32" s="12" t="s">
        <v>0</v>
      </c>
      <c r="B32" s="12">
        <v>1</v>
      </c>
      <c r="C32" s="12">
        <v>2</v>
      </c>
      <c r="D32" s="12">
        <v>3</v>
      </c>
      <c r="E32" s="12">
        <v>4</v>
      </c>
      <c r="F32" s="12">
        <v>5</v>
      </c>
      <c r="G32" s="12">
        <v>6</v>
      </c>
      <c r="H32" s="12">
        <v>7</v>
      </c>
      <c r="I32" s="12">
        <v>8</v>
      </c>
      <c r="J32" s="12">
        <v>9</v>
      </c>
      <c r="K32" s="12">
        <v>10</v>
      </c>
      <c r="L32" s="12">
        <v>11</v>
      </c>
      <c r="M32" s="12">
        <v>12</v>
      </c>
    </row>
    <row r="33" spans="1:13" x14ac:dyDescent="0.25">
      <c r="A33" s="12" t="s">
        <v>1</v>
      </c>
      <c r="H33">
        <v>3.8499999791383702E-2</v>
      </c>
      <c r="I33">
        <v>3.8400001823902102E-2</v>
      </c>
      <c r="J33">
        <v>3.9400000125169803E-2</v>
      </c>
      <c r="K33">
        <v>3.7900000810623197E-2</v>
      </c>
      <c r="L33">
        <v>3.7700001150369603E-2</v>
      </c>
      <c r="M33">
        <v>4.2399998754262903E-2</v>
      </c>
    </row>
    <row r="34" spans="1:13" x14ac:dyDescent="0.25">
      <c r="A34" s="12" t="s">
        <v>5</v>
      </c>
      <c r="B34">
        <v>0.107500001788139</v>
      </c>
      <c r="C34">
        <v>0.10369999706745101</v>
      </c>
      <c r="D34">
        <v>0.10339999943971601</v>
      </c>
      <c r="E34">
        <v>9.7599998116493197E-2</v>
      </c>
      <c r="F34">
        <v>0.101099997758865</v>
      </c>
      <c r="G34">
        <v>0.104699999094009</v>
      </c>
    </row>
    <row r="36" spans="1:13" x14ac:dyDescent="0.25">
      <c r="A36" s="12" t="s">
        <v>0</v>
      </c>
      <c r="B36" s="12">
        <v>1</v>
      </c>
      <c r="C36" s="12">
        <v>2</v>
      </c>
      <c r="D36" s="12">
        <v>3</v>
      </c>
      <c r="E36" s="12">
        <v>4</v>
      </c>
      <c r="F36" s="12">
        <v>5</v>
      </c>
      <c r="G36" s="12">
        <v>6</v>
      </c>
      <c r="H36" s="12">
        <v>7</v>
      </c>
      <c r="I36" s="12">
        <v>8</v>
      </c>
      <c r="J36" s="12">
        <v>9</v>
      </c>
      <c r="K36" s="12">
        <v>10</v>
      </c>
      <c r="L36" s="12">
        <v>11</v>
      </c>
      <c r="M36" s="12">
        <v>12</v>
      </c>
    </row>
    <row r="37" spans="1:13" x14ac:dyDescent="0.25">
      <c r="A37" s="12" t="s">
        <v>1</v>
      </c>
      <c r="H37">
        <v>3.8600001484155697E-2</v>
      </c>
      <c r="I37">
        <v>3.8600001484155697E-2</v>
      </c>
      <c r="J37">
        <v>4.0100000798702198E-2</v>
      </c>
      <c r="K37">
        <v>3.7799999117851299E-2</v>
      </c>
      <c r="L37">
        <v>3.7799999117851299E-2</v>
      </c>
      <c r="M37">
        <v>4.3900001794099801E-2</v>
      </c>
    </row>
    <row r="38" spans="1:13" x14ac:dyDescent="0.25">
      <c r="A38" s="12" t="s">
        <v>6</v>
      </c>
      <c r="B38">
        <v>0.100699998438358</v>
      </c>
      <c r="C38">
        <v>0.10670000314712499</v>
      </c>
      <c r="D38">
        <v>0.110399998724461</v>
      </c>
      <c r="E38">
        <v>0.10090000182390201</v>
      </c>
      <c r="F38">
        <v>0.10360000282526</v>
      </c>
      <c r="G38">
        <v>0.10589999705553101</v>
      </c>
    </row>
  </sheetData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topLeftCell="A13" workbookViewId="0">
      <selection sqref="A1:I11"/>
    </sheetView>
  </sheetViews>
  <sheetFormatPr defaultColWidth="9" defaultRowHeight="14.4" x14ac:dyDescent="0.25"/>
  <cols>
    <col min="1" max="1" width="11.5546875" style="1" customWidth="1"/>
    <col min="2" max="7" width="8.5546875" style="3" customWidth="1"/>
    <col min="8" max="8" width="10.21875" style="2" customWidth="1"/>
    <col min="9" max="9" width="10.5546875" style="2" customWidth="1"/>
    <col min="10" max="10" width="15.21875" style="3" customWidth="1"/>
    <col min="11" max="12" width="8.5546875" style="3" customWidth="1"/>
    <col min="13" max="20" width="8.5546875" customWidth="1"/>
  </cols>
  <sheetData>
    <row r="1" spans="1:20" x14ac:dyDescent="0.25">
      <c r="A1" s="15" t="s">
        <v>73</v>
      </c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7" t="s">
        <v>71</v>
      </c>
      <c r="I1" s="17" t="s">
        <v>72</v>
      </c>
    </row>
    <row r="2" spans="1:20" x14ac:dyDescent="0.25">
      <c r="A2" s="15">
        <v>15</v>
      </c>
      <c r="B2" s="18">
        <v>5.8800000697374302E-2</v>
      </c>
      <c r="C2" s="18">
        <v>5.9500001370906802E-2</v>
      </c>
      <c r="D2" s="18">
        <v>5.5900000035762801E-2</v>
      </c>
      <c r="E2" s="18">
        <v>5.4699998348951298E-2</v>
      </c>
      <c r="F2" s="18">
        <v>5.6499999016523403E-2</v>
      </c>
      <c r="G2" s="18">
        <v>5.7100001722574199E-2</v>
      </c>
      <c r="H2" s="18">
        <f t="shared" ref="H2:H11" si="0">AVERAGE(B2:G2)</f>
        <v>5.7083333532015501E-2</v>
      </c>
      <c r="I2" s="18">
        <v>3.6616666863361999E-2</v>
      </c>
    </row>
    <row r="3" spans="1:20" x14ac:dyDescent="0.25">
      <c r="A3" s="15">
        <v>30</v>
      </c>
      <c r="B3" s="18">
        <v>7.0100001990795094E-2</v>
      </c>
      <c r="C3" s="18">
        <v>7.0100001990795094E-2</v>
      </c>
      <c r="D3" s="18">
        <v>6.76999986171722E-2</v>
      </c>
      <c r="E3" s="18">
        <v>6.7500002682209001E-2</v>
      </c>
      <c r="F3" s="18">
        <v>6.8099997937679305E-2</v>
      </c>
      <c r="G3" s="18">
        <v>6.8999998271465302E-2</v>
      </c>
      <c r="H3" s="18">
        <f t="shared" si="0"/>
        <v>6.8750000248352705E-2</v>
      </c>
      <c r="I3" s="18">
        <v>3.7333333243926403E-2</v>
      </c>
    </row>
    <row r="4" spans="1:20" x14ac:dyDescent="0.25">
      <c r="A4" s="15">
        <v>45</v>
      </c>
      <c r="B4" s="18">
        <v>7.5099997222423595E-2</v>
      </c>
      <c r="C4" s="18">
        <v>8.1000000238418607E-2</v>
      </c>
      <c r="D4" s="18">
        <v>8.0200001597404494E-2</v>
      </c>
      <c r="E4" s="18">
        <v>8.7399996817111997E-2</v>
      </c>
      <c r="F4" s="18">
        <v>7.9099997878074604E-2</v>
      </c>
      <c r="G4" s="18">
        <v>7.8599996864795699E-2</v>
      </c>
      <c r="H4" s="18">
        <f t="shared" si="0"/>
        <v>8.0233331769704805E-2</v>
      </c>
      <c r="I4" s="18">
        <v>3.7516665955384602E-2</v>
      </c>
    </row>
    <row r="5" spans="1:20" x14ac:dyDescent="0.25">
      <c r="A5" s="15">
        <v>60</v>
      </c>
      <c r="B5" s="18">
        <v>8.3499997854232802E-2</v>
      </c>
      <c r="C5" s="18">
        <v>8.9699998497962993E-2</v>
      </c>
      <c r="D5" s="18">
        <v>8.7899997830390902E-2</v>
      </c>
      <c r="E5" s="18">
        <v>8.5500001907348605E-2</v>
      </c>
      <c r="F5" s="18">
        <v>8.6999997496604906E-2</v>
      </c>
      <c r="G5" s="18">
        <v>9.0400002896785694E-2</v>
      </c>
      <c r="H5" s="18">
        <f t="shared" si="0"/>
        <v>8.7333332747221007E-2</v>
      </c>
      <c r="I5" s="18">
        <v>3.7783334031701102E-2</v>
      </c>
    </row>
    <row r="6" spans="1:20" x14ac:dyDescent="0.25">
      <c r="A6" s="15">
        <v>75</v>
      </c>
      <c r="B6" s="18">
        <v>8.9900001883506803E-2</v>
      </c>
      <c r="C6" s="18">
        <v>9.8300002515315996E-2</v>
      </c>
      <c r="D6" s="18">
        <v>9.6100002527236897E-2</v>
      </c>
      <c r="E6" s="18">
        <v>9.3299999833106995E-2</v>
      </c>
      <c r="F6" s="18">
        <v>9.2799998819828006E-2</v>
      </c>
      <c r="G6" s="18">
        <v>0.10249999910593</v>
      </c>
      <c r="H6" s="18">
        <f t="shared" si="0"/>
        <v>9.5483334114154106E-2</v>
      </c>
      <c r="I6" s="18">
        <v>3.8100000470876701E-2</v>
      </c>
      <c r="J6" s="19" t="s">
        <v>21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25">
      <c r="A7" s="15">
        <v>90</v>
      </c>
      <c r="B7" s="18">
        <v>9.3999996781349196E-2</v>
      </c>
      <c r="C7" s="18">
        <v>0.107400000095367</v>
      </c>
      <c r="D7" s="18">
        <v>9.7599998116493197E-2</v>
      </c>
      <c r="E7" s="18">
        <v>0.10029999911785099</v>
      </c>
      <c r="F7" s="18">
        <v>9.3900002539157895E-2</v>
      </c>
      <c r="G7" s="18">
        <v>9.6799999475479098E-2</v>
      </c>
      <c r="H7" s="18">
        <f t="shared" si="0"/>
        <v>9.8333332687616196E-2</v>
      </c>
      <c r="I7" s="18">
        <v>3.8050000866254201E-2</v>
      </c>
      <c r="J7" s="20" t="s">
        <v>23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  <c r="P7" s="5" t="s">
        <v>22</v>
      </c>
      <c r="Q7" s="5" t="s">
        <v>24</v>
      </c>
      <c r="R7" s="5" t="s">
        <v>25</v>
      </c>
      <c r="S7" s="5" t="s">
        <v>26</v>
      </c>
      <c r="T7" s="5" t="s">
        <v>27</v>
      </c>
    </row>
    <row r="8" spans="1:20" x14ac:dyDescent="0.25">
      <c r="A8" s="15">
        <v>105</v>
      </c>
      <c r="B8" s="18">
        <v>9.6900001168250996E-2</v>
      </c>
      <c r="C8" s="18">
        <v>0.10419999808072999</v>
      </c>
      <c r="D8" s="18">
        <v>0.101499997079372</v>
      </c>
      <c r="E8" s="18">
        <v>9.8399996757507296E-2</v>
      </c>
      <c r="F8" s="18">
        <v>9.9799998104572296E-2</v>
      </c>
      <c r="G8" s="18">
        <v>0.10090000182390201</v>
      </c>
      <c r="H8" s="18">
        <f t="shared" si="0"/>
        <v>0.10028333216905599</v>
      </c>
      <c r="I8" s="18">
        <v>3.88499995072683E-2</v>
      </c>
      <c r="J8" s="21" t="s">
        <v>28</v>
      </c>
      <c r="K8" s="4">
        <v>5.7083333532015501E-2</v>
      </c>
      <c r="L8" s="4">
        <v>6.8750000248352705E-2</v>
      </c>
      <c r="M8" s="4">
        <v>8.0233331769704805E-2</v>
      </c>
      <c r="N8" s="4">
        <v>8.7333332747221007E-2</v>
      </c>
      <c r="O8" s="4">
        <v>9.5483334114154106E-2</v>
      </c>
      <c r="P8" s="4">
        <v>9.8333332687616196E-2</v>
      </c>
      <c r="Q8" s="4">
        <v>0.10028333216905599</v>
      </c>
      <c r="R8" s="4">
        <v>0.10105000063777</v>
      </c>
      <c r="S8" s="4">
        <v>0.102999998877446</v>
      </c>
      <c r="T8" s="4">
        <v>0.10470000033577299</v>
      </c>
    </row>
    <row r="9" spans="1:20" x14ac:dyDescent="0.25">
      <c r="A9" s="15">
        <v>120</v>
      </c>
      <c r="B9" s="18">
        <v>9.8399996757507296E-2</v>
      </c>
      <c r="C9" s="18">
        <v>0.10530000180005999</v>
      </c>
      <c r="D9" s="18">
        <v>0.102099999785423</v>
      </c>
      <c r="E9" s="18">
        <v>0.10000000149011599</v>
      </c>
      <c r="F9" s="18">
        <v>0.100100003182888</v>
      </c>
      <c r="G9" s="18">
        <v>0.100400000810623</v>
      </c>
      <c r="H9" s="18">
        <f t="shared" si="0"/>
        <v>0.10105000063777</v>
      </c>
      <c r="I9" s="18">
        <v>3.9049999788403497E-2</v>
      </c>
      <c r="J9" s="21" t="s">
        <v>29</v>
      </c>
      <c r="K9" s="4">
        <v>2.0466666668653499E-2</v>
      </c>
      <c r="L9" s="4">
        <v>2.9652777852283499E-2</v>
      </c>
      <c r="M9" s="4">
        <v>4.2716665814320202E-2</v>
      </c>
      <c r="N9" s="4">
        <v>4.9549998715519898E-2</v>
      </c>
      <c r="O9" s="4">
        <v>5.7383333643277398E-2</v>
      </c>
      <c r="P9" s="4">
        <v>6.0283331821362002E-2</v>
      </c>
      <c r="Q9" s="4">
        <v>6.14333326617875E-2</v>
      </c>
      <c r="R9" s="4">
        <v>6.2000000849366001E-2</v>
      </c>
      <c r="S9" s="4">
        <v>6.3949998468160296E-2</v>
      </c>
      <c r="T9" s="4">
        <v>6.5233333036303506E-2</v>
      </c>
    </row>
    <row r="10" spans="1:20" x14ac:dyDescent="0.25">
      <c r="A10" s="15">
        <v>135</v>
      </c>
      <c r="B10" s="18">
        <v>0.107500001788139</v>
      </c>
      <c r="C10" s="18">
        <v>0.10369999706745101</v>
      </c>
      <c r="D10" s="18">
        <v>0.10339999943971601</v>
      </c>
      <c r="E10" s="18">
        <v>9.7599998116493197E-2</v>
      </c>
      <c r="F10" s="18">
        <v>0.101099997758865</v>
      </c>
      <c r="G10" s="18">
        <v>0.104699999094009</v>
      </c>
      <c r="H10" s="18">
        <f t="shared" si="0"/>
        <v>0.102999998877446</v>
      </c>
      <c r="I10" s="18">
        <v>3.9050000409285197E-2</v>
      </c>
      <c r="J10" s="22" t="s">
        <v>30</v>
      </c>
      <c r="K10" s="10">
        <v>1.6435911567803201E-3</v>
      </c>
      <c r="L10" s="10">
        <v>3.4534793047609098E-3</v>
      </c>
      <c r="M10" s="10">
        <v>3.7025516322948702E-3</v>
      </c>
      <c r="N10" s="10">
        <v>2.3626733678181102E-3</v>
      </c>
      <c r="O10" s="10">
        <v>4.09650916641165E-3</v>
      </c>
      <c r="P10" s="10">
        <v>4.6078436993349002E-3</v>
      </c>
      <c r="Q10" s="10">
        <v>2.3248053532200301E-3</v>
      </c>
      <c r="R10" s="10">
        <v>2.1838430119323002E-3</v>
      </c>
      <c r="S10" s="10">
        <v>3.0702887301057502E-3</v>
      </c>
      <c r="T10" s="10">
        <v>3.4053874815399001E-3</v>
      </c>
    </row>
    <row r="11" spans="1:20" x14ac:dyDescent="0.25">
      <c r="A11" s="15">
        <v>150</v>
      </c>
      <c r="B11" s="18">
        <v>0.100699998438358</v>
      </c>
      <c r="C11" s="18">
        <v>0.10670000314712499</v>
      </c>
      <c r="D11" s="18">
        <v>0.110399998724461</v>
      </c>
      <c r="E11" s="18">
        <v>0.10090000182390201</v>
      </c>
      <c r="F11" s="18">
        <v>0.10360000282526</v>
      </c>
      <c r="G11" s="18">
        <v>0.10589999705553101</v>
      </c>
      <c r="H11" s="18">
        <f t="shared" si="0"/>
        <v>0.10470000033577299</v>
      </c>
      <c r="I11" s="18">
        <v>3.94666672994693E-2</v>
      </c>
    </row>
    <row r="13" spans="1:20" x14ac:dyDescent="0.25">
      <c r="A13" s="1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31</v>
      </c>
      <c r="I13" s="2" t="s">
        <v>31</v>
      </c>
    </row>
    <row r="14" spans="1:20" x14ac:dyDescent="0.25">
      <c r="A14" s="1" t="s">
        <v>16</v>
      </c>
      <c r="B14" s="3">
        <v>2.21833338340123E-2</v>
      </c>
      <c r="C14" s="3">
        <v>2.28833345075448E-2</v>
      </c>
      <c r="D14" s="3">
        <v>1.9283333172400802E-2</v>
      </c>
      <c r="E14" s="3">
        <v>1.8083331485589299E-2</v>
      </c>
      <c r="F14" s="3">
        <v>1.98833321531614E-2</v>
      </c>
      <c r="G14" s="3">
        <v>2.04833348592122E-2</v>
      </c>
      <c r="H14" s="2">
        <f t="shared" ref="H14:H23" si="1">AVERAGE(B14:G14)</f>
        <v>2.0466666668653499E-2</v>
      </c>
      <c r="I14" s="2">
        <v>2.0466666668653499E-2</v>
      </c>
    </row>
    <row r="15" spans="1:20" x14ac:dyDescent="0.25">
      <c r="A15" s="1" t="s">
        <v>17</v>
      </c>
      <c r="B15" s="3">
        <v>2.21833338340123E-2</v>
      </c>
      <c r="C15" s="3">
        <v>3.2766668746868698E-2</v>
      </c>
      <c r="D15" s="3">
        <v>3.03666653732458E-2</v>
      </c>
      <c r="E15" s="3">
        <v>3.0166669438282601E-2</v>
      </c>
      <c r="F15" s="3">
        <v>3.0766664693752901E-2</v>
      </c>
      <c r="G15" s="3">
        <v>3.1666665027538898E-2</v>
      </c>
      <c r="H15" s="2">
        <f t="shared" si="1"/>
        <v>2.9652777852283499E-2</v>
      </c>
      <c r="I15" s="2">
        <v>2.9652777852283499E-2</v>
      </c>
    </row>
    <row r="16" spans="1:20" x14ac:dyDescent="0.25">
      <c r="A16" s="1" t="s">
        <v>18</v>
      </c>
      <c r="B16" s="3">
        <v>3.7583331267039E-2</v>
      </c>
      <c r="C16" s="3">
        <v>4.3483334283033998E-2</v>
      </c>
      <c r="D16" s="3">
        <v>4.2683335642019898E-2</v>
      </c>
      <c r="E16" s="3">
        <v>4.9883330861727401E-2</v>
      </c>
      <c r="F16" s="3">
        <v>4.1583331922690002E-2</v>
      </c>
      <c r="G16" s="3">
        <v>4.1083330909411103E-2</v>
      </c>
      <c r="H16" s="2">
        <f t="shared" si="1"/>
        <v>4.2716665814320202E-2</v>
      </c>
      <c r="I16" s="2">
        <v>4.2716665814320202E-2</v>
      </c>
    </row>
    <row r="17" spans="1:18" x14ac:dyDescent="0.25">
      <c r="A17" s="1" t="s">
        <v>19</v>
      </c>
      <c r="B17" s="3">
        <v>4.57166638225317E-2</v>
      </c>
      <c r="C17" s="3">
        <v>5.1916664466261898E-2</v>
      </c>
      <c r="D17" s="3">
        <v>5.0116663798689801E-2</v>
      </c>
      <c r="E17" s="3">
        <v>4.7716667875647503E-2</v>
      </c>
      <c r="F17" s="3">
        <v>4.9216663464903797E-2</v>
      </c>
      <c r="G17" s="3">
        <v>5.26166688650846E-2</v>
      </c>
      <c r="H17" s="2">
        <f t="shared" si="1"/>
        <v>4.9549998715519898E-2</v>
      </c>
      <c r="I17" s="2">
        <v>4.9549998715519898E-2</v>
      </c>
    </row>
    <row r="18" spans="1:18" x14ac:dyDescent="0.25">
      <c r="A18" s="1" t="s">
        <v>20</v>
      </c>
      <c r="B18" s="3">
        <v>5.1800001412630102E-2</v>
      </c>
      <c r="C18" s="3">
        <v>6.0200002044439302E-2</v>
      </c>
      <c r="D18" s="3">
        <v>5.8000002056360203E-2</v>
      </c>
      <c r="E18" s="3">
        <v>5.5199999362230301E-2</v>
      </c>
      <c r="F18" s="3">
        <v>5.4699998348951298E-2</v>
      </c>
      <c r="G18" s="3">
        <v>6.4399998635053302E-2</v>
      </c>
      <c r="H18" s="2">
        <f t="shared" si="1"/>
        <v>5.7383333643277398E-2</v>
      </c>
      <c r="I18" s="2">
        <v>5.7383333643277398E-2</v>
      </c>
    </row>
    <row r="19" spans="1:18" x14ac:dyDescent="0.25">
      <c r="A19" s="1" t="s">
        <v>22</v>
      </c>
      <c r="B19" s="3">
        <v>5.5949995915095002E-2</v>
      </c>
      <c r="C19" s="3">
        <v>6.9349999229112794E-2</v>
      </c>
      <c r="D19" s="3">
        <v>5.9549997250238997E-2</v>
      </c>
      <c r="E19" s="3">
        <v>6.22499982515968E-2</v>
      </c>
      <c r="F19" s="3">
        <v>5.5850001672903701E-2</v>
      </c>
      <c r="G19" s="3">
        <v>5.8749998609224897E-2</v>
      </c>
      <c r="H19" s="2">
        <f t="shared" si="1"/>
        <v>6.0283331821362002E-2</v>
      </c>
      <c r="I19" s="2">
        <v>6.0283331821362002E-2</v>
      </c>
      <c r="K19" s="3" t="s">
        <v>32</v>
      </c>
    </row>
    <row r="20" spans="1:18" x14ac:dyDescent="0.25">
      <c r="A20" s="1" t="s">
        <v>24</v>
      </c>
      <c r="B20" s="3">
        <v>5.8050001660982703E-2</v>
      </c>
      <c r="C20" s="3">
        <v>6.5349998573461701E-2</v>
      </c>
      <c r="D20" s="3">
        <v>6.2649997572103697E-2</v>
      </c>
      <c r="E20" s="3">
        <v>5.9549997250238997E-2</v>
      </c>
      <c r="F20" s="3">
        <v>6.0949998597304003E-2</v>
      </c>
      <c r="G20" s="3">
        <v>6.2050002316633698E-2</v>
      </c>
      <c r="H20" s="2">
        <f t="shared" si="1"/>
        <v>6.14333326617875E-2</v>
      </c>
      <c r="I20" s="2">
        <v>6.14333326617875E-2</v>
      </c>
      <c r="K20" s="3">
        <v>2.21833338340123E-2</v>
      </c>
      <c r="L20" s="3">
        <v>2.28833345075448E-2</v>
      </c>
      <c r="M20" s="3">
        <v>1.9283333172400802E-2</v>
      </c>
      <c r="N20" s="3">
        <v>1.8083331485589299E-2</v>
      </c>
      <c r="O20" s="3">
        <v>1.98833321531614E-2</v>
      </c>
      <c r="P20" s="3">
        <v>2.04833348592122E-2</v>
      </c>
      <c r="Q20">
        <f>_xlfn.STDEV.P(K20:P20)</f>
        <v>1.6435911567803201E-3</v>
      </c>
      <c r="R20">
        <v>1.6435911567803201E-3</v>
      </c>
    </row>
    <row r="21" spans="1:18" x14ac:dyDescent="0.25">
      <c r="A21" s="1" t="s">
        <v>25</v>
      </c>
      <c r="B21" s="3">
        <v>5.9349996969103799E-2</v>
      </c>
      <c r="C21" s="3">
        <v>6.6250002011656497E-2</v>
      </c>
      <c r="D21" s="3">
        <v>6.3049999997019504E-2</v>
      </c>
      <c r="E21" s="3">
        <v>6.0950001701712497E-2</v>
      </c>
      <c r="F21" s="3">
        <v>6.1050003394484499E-2</v>
      </c>
      <c r="G21" s="3">
        <v>6.1350001022219498E-2</v>
      </c>
      <c r="H21" s="2">
        <f t="shared" si="1"/>
        <v>6.2000000849366001E-2</v>
      </c>
      <c r="I21" s="2">
        <v>6.2000000849366001E-2</v>
      </c>
      <c r="K21" s="3">
        <v>2.21833338340123E-2</v>
      </c>
      <c r="L21" s="3">
        <v>3.2766668746868698E-2</v>
      </c>
      <c r="M21" s="3">
        <v>3.03666653732458E-2</v>
      </c>
      <c r="N21" s="3">
        <v>3.0166669438282601E-2</v>
      </c>
      <c r="O21" s="3">
        <v>3.0766664693752901E-2</v>
      </c>
      <c r="P21" s="3">
        <v>3.1666665027538898E-2</v>
      </c>
      <c r="Q21">
        <f t="shared" ref="Q21:Q29" si="2">_xlfn.STDEV.P(K21:P21)</f>
        <v>3.4534793047609098E-3</v>
      </c>
      <c r="R21">
        <v>3.4534793047609098E-3</v>
      </c>
    </row>
    <row r="22" spans="1:18" x14ac:dyDescent="0.25">
      <c r="A22" s="1" t="s">
        <v>26</v>
      </c>
      <c r="B22" s="3">
        <v>6.8450001378853806E-2</v>
      </c>
      <c r="C22" s="3">
        <v>6.4649996658165801E-2</v>
      </c>
      <c r="D22" s="3">
        <v>6.4349999030430802E-2</v>
      </c>
      <c r="E22" s="3">
        <v>5.8549997707208E-2</v>
      </c>
      <c r="F22" s="3">
        <v>6.2049997349579798E-2</v>
      </c>
      <c r="G22" s="3">
        <v>6.5649998684723807E-2</v>
      </c>
      <c r="H22" s="2">
        <f t="shared" si="1"/>
        <v>6.3949998468160296E-2</v>
      </c>
      <c r="I22" s="2">
        <v>6.3949998468160296E-2</v>
      </c>
      <c r="K22" s="3">
        <v>3.7583331267039E-2</v>
      </c>
      <c r="L22" s="3">
        <v>4.3483334283033998E-2</v>
      </c>
      <c r="M22" s="3">
        <v>4.2683335642019898E-2</v>
      </c>
      <c r="N22" s="3">
        <v>4.9883330861727401E-2</v>
      </c>
      <c r="O22" s="3">
        <v>4.1583331922690002E-2</v>
      </c>
      <c r="P22" s="3">
        <v>4.1083330909411103E-2</v>
      </c>
      <c r="Q22">
        <f t="shared" si="2"/>
        <v>3.7025516322948702E-3</v>
      </c>
      <c r="R22">
        <v>3.7025516322948702E-3</v>
      </c>
    </row>
    <row r="23" spans="1:18" x14ac:dyDescent="0.25">
      <c r="A23" s="1" t="s">
        <v>27</v>
      </c>
      <c r="B23" s="3">
        <v>6.1233331138888701E-2</v>
      </c>
      <c r="C23" s="3">
        <v>6.7233335847655701E-2</v>
      </c>
      <c r="D23" s="3">
        <v>7.0933331424991697E-2</v>
      </c>
      <c r="E23" s="3">
        <v>6.1433334524432698E-2</v>
      </c>
      <c r="F23" s="3">
        <v>6.4133335525790702E-2</v>
      </c>
      <c r="G23" s="3">
        <v>6.6433329756061699E-2</v>
      </c>
      <c r="H23" s="2">
        <f t="shared" si="1"/>
        <v>6.5233333036303506E-2</v>
      </c>
      <c r="I23" s="2">
        <v>6.5233333036303506E-2</v>
      </c>
      <c r="K23" s="3">
        <v>4.57166638225317E-2</v>
      </c>
      <c r="L23" s="3">
        <v>5.1916664466261898E-2</v>
      </c>
      <c r="M23" s="3">
        <v>5.0116663798689801E-2</v>
      </c>
      <c r="N23" s="3">
        <v>4.7716667875647503E-2</v>
      </c>
      <c r="O23" s="3">
        <v>4.9216663464903797E-2</v>
      </c>
      <c r="P23" s="3">
        <v>5.26166688650846E-2</v>
      </c>
      <c r="Q23">
        <f t="shared" si="2"/>
        <v>2.3626733678181102E-3</v>
      </c>
      <c r="R23">
        <v>2.3626733678181102E-3</v>
      </c>
    </row>
    <row r="24" spans="1:18" x14ac:dyDescent="0.25">
      <c r="K24" s="3">
        <v>5.1800001412630102E-2</v>
      </c>
      <c r="L24" s="3">
        <v>6.0200002044439302E-2</v>
      </c>
      <c r="M24" s="3">
        <v>5.8000002056360203E-2</v>
      </c>
      <c r="N24" s="3">
        <v>5.5199999362230301E-2</v>
      </c>
      <c r="O24" s="3">
        <v>5.4699998348951298E-2</v>
      </c>
      <c r="P24" s="3">
        <v>6.4399998635053302E-2</v>
      </c>
      <c r="Q24">
        <f t="shared" si="2"/>
        <v>4.09650916641165E-3</v>
      </c>
      <c r="R24">
        <v>4.09650916641165E-3</v>
      </c>
    </row>
    <row r="25" spans="1:18" x14ac:dyDescent="0.25">
      <c r="K25" s="3">
        <v>5.5949995915095002E-2</v>
      </c>
      <c r="L25" s="3">
        <v>6.9349999229112794E-2</v>
      </c>
      <c r="M25" s="3">
        <v>5.9549997250238997E-2</v>
      </c>
      <c r="N25" s="3">
        <v>6.22499982515968E-2</v>
      </c>
      <c r="O25" s="3">
        <v>5.5850001672903701E-2</v>
      </c>
      <c r="P25" s="3">
        <v>5.8749998609224897E-2</v>
      </c>
      <c r="Q25">
        <f t="shared" si="2"/>
        <v>4.6078436993349002E-3</v>
      </c>
      <c r="R25">
        <v>4.6078436993349002E-3</v>
      </c>
    </row>
    <row r="26" spans="1:18" x14ac:dyDescent="0.25">
      <c r="A26"/>
      <c r="B26"/>
      <c r="C26"/>
      <c r="D26"/>
      <c r="E26"/>
      <c r="F26"/>
      <c r="G26"/>
      <c r="H26" s="1"/>
      <c r="I26" s="1"/>
      <c r="J26"/>
      <c r="K26" s="3">
        <v>5.8050001660982703E-2</v>
      </c>
      <c r="L26" s="3">
        <v>6.5349998573461701E-2</v>
      </c>
      <c r="M26" s="3">
        <v>6.2649997572103697E-2</v>
      </c>
      <c r="N26" s="3">
        <v>5.9549997250238997E-2</v>
      </c>
      <c r="O26" s="3">
        <v>6.0949998597304003E-2</v>
      </c>
      <c r="P26" s="3">
        <v>6.2050002316633698E-2</v>
      </c>
      <c r="Q26">
        <f t="shared" si="2"/>
        <v>2.3248053532200301E-3</v>
      </c>
      <c r="R26">
        <v>2.3248053532200301E-3</v>
      </c>
    </row>
    <row r="27" spans="1:18" x14ac:dyDescent="0.25">
      <c r="A27"/>
      <c r="B27"/>
      <c r="C27"/>
      <c r="D27"/>
      <c r="E27"/>
      <c r="F27"/>
      <c r="G27"/>
      <c r="H27" s="1"/>
      <c r="I27" s="1"/>
      <c r="J27"/>
      <c r="K27" s="3">
        <v>5.9349996969103799E-2</v>
      </c>
      <c r="L27" s="3">
        <v>6.6250002011656497E-2</v>
      </c>
      <c r="M27" s="3">
        <v>6.3049999997019504E-2</v>
      </c>
      <c r="N27" s="3">
        <v>6.0950001701712497E-2</v>
      </c>
      <c r="O27" s="3">
        <v>6.1050003394484499E-2</v>
      </c>
      <c r="P27" s="3">
        <v>6.1350001022219498E-2</v>
      </c>
      <c r="Q27">
        <f t="shared" si="2"/>
        <v>2.1838430119323002E-3</v>
      </c>
      <c r="R27">
        <v>2.1838430119323002E-3</v>
      </c>
    </row>
    <row r="28" spans="1:18" x14ac:dyDescent="0.25">
      <c r="A28"/>
      <c r="B28"/>
      <c r="C28"/>
      <c r="D28"/>
      <c r="E28"/>
      <c r="F28"/>
      <c r="G28"/>
      <c r="H28" s="1"/>
      <c r="I28" s="1"/>
      <c r="J28"/>
      <c r="K28" s="3">
        <v>6.8450001378853806E-2</v>
      </c>
      <c r="L28" s="3">
        <v>6.4649996658165801E-2</v>
      </c>
      <c r="M28" s="3">
        <v>6.4349999030430802E-2</v>
      </c>
      <c r="N28" s="3">
        <v>5.8549997707208E-2</v>
      </c>
      <c r="O28" s="3">
        <v>6.2049997349579798E-2</v>
      </c>
      <c r="P28" s="3">
        <v>6.5649998684723807E-2</v>
      </c>
      <c r="Q28">
        <f t="shared" si="2"/>
        <v>3.0702887301057502E-3</v>
      </c>
      <c r="R28">
        <v>3.0702887301057502E-3</v>
      </c>
    </row>
    <row r="29" spans="1:18" x14ac:dyDescent="0.25">
      <c r="A29"/>
      <c r="B29"/>
      <c r="C29"/>
      <c r="D29"/>
      <c r="E29"/>
      <c r="F29"/>
      <c r="G29"/>
      <c r="H29" s="1"/>
      <c r="I29" s="1"/>
      <c r="J29"/>
      <c r="K29" s="3">
        <v>6.1233331138888701E-2</v>
      </c>
      <c r="L29" s="3">
        <v>6.7233335847655701E-2</v>
      </c>
      <c r="M29" s="3">
        <v>7.0933331424991697E-2</v>
      </c>
      <c r="N29" s="3">
        <v>6.1433334524432698E-2</v>
      </c>
      <c r="O29" s="3">
        <v>6.4133335525790702E-2</v>
      </c>
      <c r="P29" s="3">
        <v>6.6433329756061699E-2</v>
      </c>
      <c r="Q29">
        <f t="shared" si="2"/>
        <v>3.4053874815399001E-3</v>
      </c>
      <c r="R29">
        <v>3.4053874815399001E-3</v>
      </c>
    </row>
    <row r="30" spans="1:18" x14ac:dyDescent="0.25">
      <c r="A30"/>
      <c r="B30"/>
      <c r="C30"/>
      <c r="D30"/>
      <c r="E30"/>
      <c r="F30"/>
      <c r="G30"/>
      <c r="H30" s="1"/>
      <c r="I30" s="1"/>
      <c r="J30"/>
      <c r="K30"/>
      <c r="L30"/>
    </row>
  </sheetData>
  <mergeCells count="1">
    <mergeCell ref="J6:T6"/>
  </mergeCells>
  <phoneticPr fontId="3" type="noConversion"/>
  <pageMargins left="0.7" right="0.7" top="0.75" bottom="0.75" header="0.3" footer="0.3"/>
  <pageSetup paperSize="9" orientation="portrait" horizontalDpi="2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"/>
  <sheetViews>
    <sheetView workbookViewId="0">
      <selection sqref="A1:A11"/>
    </sheetView>
  </sheetViews>
  <sheetFormatPr defaultColWidth="8.77734375" defaultRowHeight="14.4" x14ac:dyDescent="0.25"/>
  <cols>
    <col min="1" max="1" width="11" style="1" customWidth="1"/>
    <col min="2" max="2" width="12.6640625" style="2" customWidth="1"/>
    <col min="3" max="7" width="8.5546875" style="2" customWidth="1"/>
    <col min="8" max="8" width="9.5546875" style="2" customWidth="1"/>
    <col min="9" max="9" width="10.77734375" style="2" customWidth="1"/>
    <col min="10" max="10" width="8.5546875" style="3" customWidth="1"/>
    <col min="11" max="11" width="15.21875" style="1" customWidth="1"/>
    <col min="12" max="21" width="8.5546875" style="2" customWidth="1"/>
  </cols>
  <sheetData>
    <row r="1" spans="1:21" x14ac:dyDescent="0.25">
      <c r="A1" s="15" t="s">
        <v>73</v>
      </c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7" t="s">
        <v>71</v>
      </c>
      <c r="I1" s="17" t="s">
        <v>72</v>
      </c>
      <c r="J1" s="2"/>
    </row>
    <row r="2" spans="1:21" x14ac:dyDescent="0.25">
      <c r="A2" s="15">
        <v>15</v>
      </c>
      <c r="B2" s="18">
        <v>3.9400000125169803E-2</v>
      </c>
      <c r="C2" s="18">
        <v>3.9200000464916201E-2</v>
      </c>
      <c r="D2" s="18">
        <v>3.95999997854233E-2</v>
      </c>
      <c r="E2" s="18">
        <v>4.0199998766183902E-2</v>
      </c>
      <c r="F2" s="18">
        <v>3.8100000470876701E-2</v>
      </c>
      <c r="G2" s="18">
        <v>3.9099998772144297E-2</v>
      </c>
      <c r="H2" s="18">
        <f t="shared" ref="H2:H11" si="0">AVERAGE(B2:G2)</f>
        <v>3.9266666397452403E-2</v>
      </c>
      <c r="I2" s="18">
        <v>3.69166657328606E-2</v>
      </c>
      <c r="J2" s="2">
        <f>H2-I2</f>
        <v>2.3500006645917901E-3</v>
      </c>
    </row>
    <row r="3" spans="1:21" x14ac:dyDescent="0.25">
      <c r="A3" s="15">
        <v>30</v>
      </c>
      <c r="B3" s="18">
        <v>3.95999997854233E-2</v>
      </c>
      <c r="C3" s="18">
        <v>3.9799999445676797E-2</v>
      </c>
      <c r="D3" s="18">
        <v>4.0500000119209303E-2</v>
      </c>
      <c r="E3" s="18">
        <v>4.21000011265278E-2</v>
      </c>
      <c r="F3" s="18">
        <v>4.4199999421834897E-2</v>
      </c>
      <c r="G3" s="18">
        <v>4.1000001132488299E-2</v>
      </c>
      <c r="H3" s="18">
        <f t="shared" si="0"/>
        <v>4.1200000171860103E-2</v>
      </c>
      <c r="I3" s="18">
        <v>3.7466666971643803E-2</v>
      </c>
      <c r="J3" s="2">
        <f t="shared" ref="J3:J11" si="1">H3-I3</f>
        <v>3.7333332002162899E-3</v>
      </c>
    </row>
    <row r="4" spans="1:21" x14ac:dyDescent="0.25">
      <c r="A4" s="15">
        <v>45</v>
      </c>
      <c r="B4" s="18">
        <v>4.32999990880489E-2</v>
      </c>
      <c r="C4" s="18">
        <v>4.3900001794099801E-2</v>
      </c>
      <c r="D4" s="18">
        <v>4.9300000071525601E-2</v>
      </c>
      <c r="E4" s="18">
        <v>4.8900000751018503E-2</v>
      </c>
      <c r="F4" s="18">
        <v>4.47000004351139E-2</v>
      </c>
      <c r="G4" s="18">
        <v>4.3600000441074399E-2</v>
      </c>
      <c r="H4" s="18">
        <f t="shared" si="0"/>
        <v>4.5616667096813501E-2</v>
      </c>
      <c r="I4" s="18">
        <v>3.7883333240946102E-2</v>
      </c>
      <c r="J4" s="2">
        <f t="shared" si="1"/>
        <v>7.7333338558673902E-3</v>
      </c>
    </row>
    <row r="5" spans="1:21" x14ac:dyDescent="0.25">
      <c r="A5" s="15">
        <v>60</v>
      </c>
      <c r="B5" s="18">
        <v>4.1900001466274303E-2</v>
      </c>
      <c r="C5" s="18">
        <v>4.54000011086464E-2</v>
      </c>
      <c r="D5" s="18">
        <v>4.47000004351139E-2</v>
      </c>
      <c r="E5" s="18">
        <v>4.80000004172325E-2</v>
      </c>
      <c r="F5" s="18">
        <v>5.7000000029802302E-2</v>
      </c>
      <c r="G5" s="18">
        <v>4.8300001770257901E-2</v>
      </c>
      <c r="H5" s="18">
        <f t="shared" si="0"/>
        <v>4.7550000871221201E-2</v>
      </c>
      <c r="I5" s="18">
        <v>3.7883333861827899E-2</v>
      </c>
      <c r="J5" s="2">
        <f t="shared" si="1"/>
        <v>9.6666670093933701E-3</v>
      </c>
    </row>
    <row r="6" spans="1:21" x14ac:dyDescent="0.25">
      <c r="A6" s="15">
        <v>75</v>
      </c>
      <c r="B6" s="18">
        <v>4.6999998390674598E-2</v>
      </c>
      <c r="C6" s="18">
        <v>4.98000010848045E-2</v>
      </c>
      <c r="D6" s="18">
        <v>4.8799999058246599E-2</v>
      </c>
      <c r="E6" s="18">
        <v>5.1600001752376598E-2</v>
      </c>
      <c r="F6" s="18">
        <v>5.5500000715255703E-2</v>
      </c>
      <c r="G6" s="18">
        <v>5.3500000387430198E-2</v>
      </c>
      <c r="H6" s="18">
        <f t="shared" si="0"/>
        <v>5.1033333564798E-2</v>
      </c>
      <c r="I6" s="18">
        <v>3.8016666968663501E-2</v>
      </c>
      <c r="J6" s="2">
        <f t="shared" si="1"/>
        <v>1.3016666596134501E-2</v>
      </c>
    </row>
    <row r="7" spans="1:21" x14ac:dyDescent="0.25">
      <c r="A7" s="15">
        <v>90</v>
      </c>
      <c r="B7" s="18">
        <v>5.3700000047683702E-2</v>
      </c>
      <c r="C7" s="18">
        <v>5.73000013828278E-2</v>
      </c>
      <c r="D7" s="18">
        <v>5.3700000047683702E-2</v>
      </c>
      <c r="E7" s="18">
        <v>5.4900001734495198E-2</v>
      </c>
      <c r="F7" s="18">
        <v>5.73999993503094E-2</v>
      </c>
      <c r="G7" s="18">
        <v>5.66999986767769E-2</v>
      </c>
      <c r="H7" s="18">
        <f t="shared" si="0"/>
        <v>5.5616666873296097E-2</v>
      </c>
      <c r="I7" s="18">
        <v>3.8549999396006299E-2</v>
      </c>
      <c r="J7" s="2">
        <f t="shared" si="1"/>
        <v>1.7066667477289799E-2</v>
      </c>
    </row>
    <row r="8" spans="1:21" x14ac:dyDescent="0.25">
      <c r="A8" s="15">
        <v>105</v>
      </c>
      <c r="B8" s="18">
        <v>5.2200000733137103E-2</v>
      </c>
      <c r="C8" s="18">
        <v>6.1999998986720997E-2</v>
      </c>
      <c r="D8" s="18">
        <v>5.3899999707937199E-2</v>
      </c>
      <c r="E8" s="18">
        <v>5.7100001722574199E-2</v>
      </c>
      <c r="F8" s="18">
        <v>5.5599998682737399E-2</v>
      </c>
      <c r="G8" s="18">
        <v>5.8400001376867301E-2</v>
      </c>
      <c r="H8" s="18">
        <f t="shared" si="0"/>
        <v>5.6533333534995699E-2</v>
      </c>
      <c r="I8" s="18">
        <v>3.8050000245372501E-2</v>
      </c>
      <c r="J8" s="2">
        <f t="shared" si="1"/>
        <v>1.8483333289623299E-2</v>
      </c>
    </row>
    <row r="9" spans="1:21" x14ac:dyDescent="0.25">
      <c r="A9" s="15">
        <v>120</v>
      </c>
      <c r="B9" s="18">
        <v>5.6399999999999999E-2</v>
      </c>
      <c r="C9" s="18">
        <v>6.2600000000000003E-2</v>
      </c>
      <c r="D9" s="18">
        <v>6.0400000000000002E-2</v>
      </c>
      <c r="E9" s="18">
        <v>7.0300000000000001E-2</v>
      </c>
      <c r="F9" s="18">
        <v>6.6299999999999998E-2</v>
      </c>
      <c r="G9" s="18">
        <v>0.06</v>
      </c>
      <c r="H9" s="18">
        <f t="shared" si="0"/>
        <v>6.2666666666666704E-2</v>
      </c>
      <c r="I9" s="18">
        <v>3.6166666666666701E-2</v>
      </c>
      <c r="J9" s="2">
        <f t="shared" si="1"/>
        <v>2.6499999999999999E-2</v>
      </c>
    </row>
    <row r="10" spans="1:21" x14ac:dyDescent="0.25">
      <c r="A10" s="15">
        <v>135</v>
      </c>
      <c r="B10" s="18">
        <v>7.1499999999999994E-2</v>
      </c>
      <c r="C10" s="18">
        <v>7.9399999999999998E-2</v>
      </c>
      <c r="D10" s="18">
        <v>6.8199999999999997E-2</v>
      </c>
      <c r="E10" s="18">
        <v>7.85E-2</v>
      </c>
      <c r="F10" s="18">
        <v>8.1600000000000006E-2</v>
      </c>
      <c r="G10" s="18">
        <v>7.8700000000000006E-2</v>
      </c>
      <c r="H10" s="18">
        <f t="shared" si="0"/>
        <v>7.6316666666666699E-2</v>
      </c>
      <c r="I10" s="18">
        <v>3.6916666666666702E-2</v>
      </c>
      <c r="J10" s="2">
        <f t="shared" si="1"/>
        <v>3.9399999999999998E-2</v>
      </c>
      <c r="K10" s="13" t="s">
        <v>33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x14ac:dyDescent="0.25">
      <c r="A11" s="15">
        <v>150</v>
      </c>
      <c r="B11" s="18">
        <v>7.4399999999999994E-2</v>
      </c>
      <c r="C11" s="18">
        <v>8.4599999999999995E-2</v>
      </c>
      <c r="D11" s="18">
        <v>7.6600000000000001E-2</v>
      </c>
      <c r="E11" s="18">
        <v>8.8300000000000003E-2</v>
      </c>
      <c r="F11" s="18">
        <v>8.77E-2</v>
      </c>
      <c r="G11" s="18">
        <v>9.0200000000000002E-2</v>
      </c>
      <c r="H11" s="18">
        <f t="shared" si="0"/>
        <v>8.3633333333333296E-2</v>
      </c>
      <c r="I11" s="18">
        <v>3.6749999999999998E-2</v>
      </c>
      <c r="J11" s="2">
        <f t="shared" si="1"/>
        <v>4.6883333333333298E-2</v>
      </c>
      <c r="K11" s="5" t="s">
        <v>34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</row>
    <row r="12" spans="1:21" x14ac:dyDescent="0.25">
      <c r="K12" s="6" t="s">
        <v>28</v>
      </c>
      <c r="L12" s="6">
        <v>3.9266666397452403E-2</v>
      </c>
      <c r="M12" s="6">
        <v>4.1200000171860103E-2</v>
      </c>
      <c r="N12" s="6">
        <v>4.5616667096813501E-2</v>
      </c>
      <c r="O12" s="6">
        <v>4.7550000871221201E-2</v>
      </c>
      <c r="P12" s="6">
        <v>5.1033333564798E-2</v>
      </c>
      <c r="Q12" s="6">
        <v>5.5616666873296097E-2</v>
      </c>
      <c r="R12" s="6">
        <v>5.6533333534995699E-2</v>
      </c>
      <c r="S12" s="6">
        <v>6.2666666666666704E-2</v>
      </c>
      <c r="T12" s="6">
        <v>7.6316666666666699E-2</v>
      </c>
      <c r="U12" s="6">
        <v>8.3633333333333296E-2</v>
      </c>
    </row>
    <row r="13" spans="1:21" x14ac:dyDescent="0.25">
      <c r="B13" s="2">
        <f>B2-I2</f>
        <v>2.4833343923092001E-3</v>
      </c>
      <c r="C13" s="2">
        <f>C2-I2</f>
        <v>2.2833347320555999E-3</v>
      </c>
      <c r="D13" s="2">
        <f>D2-I2</f>
        <v>2.6833340525627002E-3</v>
      </c>
      <c r="E13" s="2">
        <f>E2-I2</f>
        <v>3.2833330333233001E-3</v>
      </c>
      <c r="F13" s="2">
        <f>F2-I2</f>
        <v>1.1833347380160999E-3</v>
      </c>
      <c r="G13" s="2">
        <f>G2-I2</f>
        <v>2.1833330392837E-3</v>
      </c>
      <c r="H13" s="2">
        <f>_xlfn.STDEV.P(B13:G13)</f>
        <v>6.31576093215039E-4</v>
      </c>
      <c r="I13" s="1">
        <v>6.31576093215039E-4</v>
      </c>
      <c r="K13" s="6" t="s">
        <v>29</v>
      </c>
      <c r="L13" s="6">
        <v>2.3500006645917901E-3</v>
      </c>
      <c r="M13" s="6">
        <v>3.7333332002162899E-3</v>
      </c>
      <c r="N13" s="6">
        <v>7.7333338558673902E-3</v>
      </c>
      <c r="O13" s="6">
        <v>9.6666670093933701E-3</v>
      </c>
      <c r="P13" s="6">
        <v>1.3016666596134501E-2</v>
      </c>
      <c r="Q13" s="6">
        <v>1.7066667477289799E-2</v>
      </c>
      <c r="R13" s="6">
        <v>1.8483333289623299E-2</v>
      </c>
      <c r="S13" s="6">
        <v>2.6499999999999999E-2</v>
      </c>
      <c r="T13" s="6">
        <v>3.9399999999999998E-2</v>
      </c>
      <c r="U13" s="6">
        <v>4.6883333333333298E-2</v>
      </c>
    </row>
    <row r="14" spans="1:21" x14ac:dyDescent="0.25">
      <c r="B14" s="2">
        <f t="shared" ref="B14:B22" si="2">B3-I3</f>
        <v>2.1333328137794999E-3</v>
      </c>
      <c r="C14" s="2">
        <f t="shared" ref="C14:C22" si="3">C3-I3</f>
        <v>2.33333247403299E-3</v>
      </c>
      <c r="D14" s="2">
        <f t="shared" ref="D14:D22" si="4">D3-I3</f>
        <v>3.0333331475654998E-3</v>
      </c>
      <c r="E14" s="2">
        <f t="shared" ref="E14:E22" si="5">E3-I3</f>
        <v>4.633334154884E-3</v>
      </c>
      <c r="F14" s="2">
        <f t="shared" ref="F14:F21" si="6">F3-I3</f>
        <v>6.73333245019109E-3</v>
      </c>
      <c r="G14" s="2">
        <f t="shared" ref="G14:G21" si="7">G3-I3</f>
        <v>3.5333341608445E-3</v>
      </c>
      <c r="H14" s="2">
        <f t="shared" ref="H14:H22" si="8">_xlfn.STDEV.P(B14:G14)</f>
        <v>1.5737428939540199E-3</v>
      </c>
      <c r="I14" s="1">
        <v>1.5737428939540199E-3</v>
      </c>
      <c r="K14" s="9" t="s">
        <v>30</v>
      </c>
      <c r="L14" s="11">
        <v>6.31576093215039E-4</v>
      </c>
      <c r="M14" s="11">
        <v>1.5737428939540199E-3</v>
      </c>
      <c r="N14" s="11">
        <v>2.5022767726230401E-3</v>
      </c>
      <c r="O14" s="11">
        <v>4.7387582722680597E-3</v>
      </c>
      <c r="P14" s="11">
        <v>2.8616241930311502E-3</v>
      </c>
      <c r="Q14" s="11">
        <v>1.5836839937817099E-3</v>
      </c>
      <c r="R14" s="11">
        <v>3.1694722744386602E-3</v>
      </c>
      <c r="S14" s="11">
        <v>4.5275698657103996E-3</v>
      </c>
      <c r="T14" s="11">
        <v>4.7775226030048502E-3</v>
      </c>
      <c r="U14" s="11">
        <v>6.0151660178437497E-3</v>
      </c>
    </row>
    <row r="15" spans="1:21" x14ac:dyDescent="0.25">
      <c r="B15" s="2">
        <f t="shared" si="2"/>
        <v>5.4166658471028004E-3</v>
      </c>
      <c r="C15" s="2">
        <f t="shared" si="3"/>
        <v>6.0166685531537001E-3</v>
      </c>
      <c r="D15" s="2">
        <f t="shared" si="4"/>
        <v>1.14166668305795E-2</v>
      </c>
      <c r="E15" s="2">
        <f t="shared" si="5"/>
        <v>1.10166675100724E-2</v>
      </c>
      <c r="F15" s="2">
        <f t="shared" si="6"/>
        <v>6.8166671941678001E-3</v>
      </c>
      <c r="G15" s="2">
        <f t="shared" si="7"/>
        <v>5.7166672001283001E-3</v>
      </c>
      <c r="H15" s="2">
        <f t="shared" si="8"/>
        <v>2.5022767726230401E-3</v>
      </c>
      <c r="I15" s="1">
        <v>2.5022767726230401E-3</v>
      </c>
    </row>
    <row r="16" spans="1:21" x14ac:dyDescent="0.25">
      <c r="B16" s="2">
        <f t="shared" si="2"/>
        <v>4.0166676044463999E-3</v>
      </c>
      <c r="C16" s="2">
        <f t="shared" si="3"/>
        <v>7.5166672468185E-3</v>
      </c>
      <c r="D16" s="2">
        <f t="shared" si="4"/>
        <v>6.8166665732860001E-3</v>
      </c>
      <c r="E16" s="2">
        <f t="shared" si="5"/>
        <v>1.0116666555404601E-2</v>
      </c>
      <c r="F16" s="2">
        <f t="shared" si="6"/>
        <v>1.9116666167974399E-2</v>
      </c>
      <c r="G16" s="2">
        <f t="shared" si="7"/>
        <v>1.0416667908430001E-2</v>
      </c>
      <c r="H16" s="2">
        <f t="shared" si="8"/>
        <v>4.7387582722680597E-3</v>
      </c>
      <c r="I16" s="1">
        <v>4.7387582722680597E-3</v>
      </c>
    </row>
    <row r="17" spans="2:9" x14ac:dyDescent="0.25">
      <c r="B17" s="2">
        <f t="shared" si="2"/>
        <v>8.9833314220111003E-3</v>
      </c>
      <c r="C17" s="2">
        <f t="shared" si="3"/>
        <v>1.1783334116141001E-2</v>
      </c>
      <c r="D17" s="2">
        <f t="shared" si="4"/>
        <v>1.0783332089583099E-2</v>
      </c>
      <c r="E17" s="2">
        <f t="shared" si="5"/>
        <v>1.35833347837131E-2</v>
      </c>
      <c r="F17" s="2">
        <f t="shared" si="6"/>
        <v>1.7483333746592201E-2</v>
      </c>
      <c r="G17" s="2">
        <f t="shared" si="7"/>
        <v>1.54833334187667E-2</v>
      </c>
      <c r="H17" s="2">
        <f t="shared" si="8"/>
        <v>2.8616241930311502E-3</v>
      </c>
      <c r="I17" s="1">
        <v>2.8616241930311502E-3</v>
      </c>
    </row>
    <row r="18" spans="2:9" x14ac:dyDescent="0.25">
      <c r="B18" s="2">
        <f t="shared" si="2"/>
        <v>1.51500006516774E-2</v>
      </c>
      <c r="C18" s="2">
        <f t="shared" si="3"/>
        <v>1.8750001986821498E-2</v>
      </c>
      <c r="D18" s="2">
        <f t="shared" si="4"/>
        <v>1.51500006516774E-2</v>
      </c>
      <c r="E18" s="2">
        <f t="shared" si="5"/>
        <v>1.6350002338488899E-2</v>
      </c>
      <c r="F18" s="2">
        <f t="shared" si="6"/>
        <v>1.8849999954303101E-2</v>
      </c>
      <c r="G18" s="2">
        <f t="shared" si="7"/>
        <v>1.8149999280770601E-2</v>
      </c>
      <c r="H18" s="2">
        <f t="shared" si="8"/>
        <v>1.5836839937817099E-3</v>
      </c>
      <c r="I18" s="1">
        <v>1.5836839937817099E-3</v>
      </c>
    </row>
    <row r="19" spans="2:9" x14ac:dyDescent="0.25">
      <c r="B19" s="2">
        <f t="shared" si="2"/>
        <v>1.4150000487764601E-2</v>
      </c>
      <c r="C19" s="2">
        <f t="shared" si="3"/>
        <v>2.39499987413485E-2</v>
      </c>
      <c r="D19" s="2">
        <f>D8-I8</f>
        <v>1.5849999462564698E-2</v>
      </c>
      <c r="E19" s="2">
        <f t="shared" si="5"/>
        <v>1.9050001477201699E-2</v>
      </c>
      <c r="F19" s="2">
        <f t="shared" si="6"/>
        <v>1.7549998437364898E-2</v>
      </c>
      <c r="G19" s="2">
        <f t="shared" si="7"/>
        <v>2.0350001131494801E-2</v>
      </c>
      <c r="H19" s="2">
        <f t="shared" si="8"/>
        <v>3.1694722744386602E-3</v>
      </c>
      <c r="I19" s="1">
        <v>3.1694722744386602E-3</v>
      </c>
    </row>
    <row r="20" spans="2:9" x14ac:dyDescent="0.25">
      <c r="B20" s="2">
        <f t="shared" si="2"/>
        <v>2.0233333333333301E-2</v>
      </c>
      <c r="C20" s="2">
        <f t="shared" si="3"/>
        <v>2.6433333333333298E-2</v>
      </c>
      <c r="D20" s="2">
        <f t="shared" si="4"/>
        <v>2.4233333333333301E-2</v>
      </c>
      <c r="E20" s="2">
        <f t="shared" si="5"/>
        <v>3.41333333333333E-2</v>
      </c>
      <c r="F20" s="2">
        <f t="shared" si="6"/>
        <v>3.01333333333333E-2</v>
      </c>
      <c r="G20" s="2">
        <f t="shared" si="7"/>
        <v>2.38333333333333E-2</v>
      </c>
      <c r="H20" s="2">
        <f t="shared" si="8"/>
        <v>4.5275698657103996E-3</v>
      </c>
      <c r="I20" s="1">
        <v>4.5275698657103996E-3</v>
      </c>
    </row>
    <row r="21" spans="2:9" x14ac:dyDescent="0.25">
      <c r="B21" s="2">
        <f t="shared" si="2"/>
        <v>3.4583333333333299E-2</v>
      </c>
      <c r="C21" s="2">
        <f t="shared" si="3"/>
        <v>4.2483333333333297E-2</v>
      </c>
      <c r="D21" s="2">
        <f t="shared" si="4"/>
        <v>3.1283333333333302E-2</v>
      </c>
      <c r="E21" s="2">
        <f t="shared" si="5"/>
        <v>4.1583333333333299E-2</v>
      </c>
      <c r="F21" s="2">
        <f t="shared" si="6"/>
        <v>4.4683333333333297E-2</v>
      </c>
      <c r="G21" s="2">
        <f t="shared" si="7"/>
        <v>4.1783333333333297E-2</v>
      </c>
      <c r="H21" s="2">
        <f t="shared" si="8"/>
        <v>4.7775226030048502E-3</v>
      </c>
      <c r="I21" s="1">
        <v>4.7775226030048502E-3</v>
      </c>
    </row>
    <row r="22" spans="2:9" x14ac:dyDescent="0.25">
      <c r="B22" s="2">
        <f t="shared" si="2"/>
        <v>3.7650000000000003E-2</v>
      </c>
      <c r="C22" s="2">
        <f t="shared" si="3"/>
        <v>4.7849999999999997E-2</v>
      </c>
      <c r="D22" s="2">
        <f t="shared" si="4"/>
        <v>3.9849999999999997E-2</v>
      </c>
      <c r="E22" s="2">
        <f t="shared" si="5"/>
        <v>5.1549999999999999E-2</v>
      </c>
      <c r="F22" s="2">
        <f>F11-I11</f>
        <v>5.0950000000000002E-2</v>
      </c>
      <c r="G22" s="2">
        <f>G11-I11</f>
        <v>5.3449999999999998E-2</v>
      </c>
      <c r="H22" s="2">
        <f t="shared" si="8"/>
        <v>6.0151660178437497E-3</v>
      </c>
      <c r="I22" s="1">
        <v>6.0151660178437497E-3</v>
      </c>
    </row>
  </sheetData>
  <mergeCells count="1">
    <mergeCell ref="K10:U10"/>
  </mergeCells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9"/>
  <sheetViews>
    <sheetView topLeftCell="A13" workbookViewId="0">
      <selection activeCell="O13" sqref="O13"/>
    </sheetView>
  </sheetViews>
  <sheetFormatPr defaultColWidth="9" defaultRowHeight="14.4" x14ac:dyDescent="0.25"/>
  <cols>
    <col min="2" max="2" width="20.77734375" customWidth="1"/>
    <col min="3" max="13" width="8.5546875" customWidth="1"/>
  </cols>
  <sheetData>
    <row r="1" spans="2:13" s="3" customFormat="1" x14ac:dyDescent="0.25"/>
    <row r="2" spans="2:13" s="3" customFormat="1" x14ac:dyDescent="0.25">
      <c r="C2" s="4">
        <v>3.8600001484155697E-2</v>
      </c>
      <c r="D2" s="4">
        <v>0.27369999885559099</v>
      </c>
      <c r="E2" s="4">
        <v>0.52310001850128196</v>
      </c>
      <c r="F2" s="4">
        <v>0.85920000076293901</v>
      </c>
      <c r="G2" s="4">
        <v>0.99699997901916504</v>
      </c>
      <c r="H2" s="4">
        <v>1.17030000686646</v>
      </c>
      <c r="I2" s="4">
        <v>1.4091000556945801</v>
      </c>
      <c r="J2" s="4">
        <v>1.6102000474929801</v>
      </c>
      <c r="K2" s="4">
        <v>1.8464000225067101</v>
      </c>
      <c r="L2" s="4">
        <v>1.9574999809265099</v>
      </c>
      <c r="M2" s="4">
        <v>2.2253999710082999</v>
      </c>
    </row>
    <row r="3" spans="2:13" s="3" customFormat="1" x14ac:dyDescent="0.25">
      <c r="C3" s="4">
        <v>3.7799999117851299E-2</v>
      </c>
      <c r="D3" s="4">
        <v>0.26739999651908902</v>
      </c>
      <c r="E3" s="4">
        <v>0.52170002460479703</v>
      </c>
      <c r="F3" s="4">
        <v>0.86720001697540305</v>
      </c>
      <c r="G3" s="4">
        <v>0.99599999189376798</v>
      </c>
      <c r="H3" s="4">
        <v>1.2111999988555899</v>
      </c>
      <c r="I3" s="4">
        <v>1.4140000343322801</v>
      </c>
      <c r="J3" s="4">
        <v>1.65149998664856</v>
      </c>
      <c r="K3" s="4">
        <v>1.8630000352859499</v>
      </c>
      <c r="L3" s="4">
        <v>1.99650001525879</v>
      </c>
      <c r="M3" s="4">
        <v>2.2314000129699698</v>
      </c>
    </row>
    <row r="4" spans="2:13" x14ac:dyDescent="0.25">
      <c r="C4" s="4">
        <v>3.8499999791383702E-2</v>
      </c>
      <c r="D4" s="4">
        <v>0.26370000839233398</v>
      </c>
      <c r="E4" s="4">
        <v>0.52749997377395597</v>
      </c>
      <c r="F4" s="4">
        <v>0.86449998617172197</v>
      </c>
      <c r="G4" s="4">
        <v>0.99709999561309803</v>
      </c>
      <c r="H4" s="4">
        <v>1.21420001983643</v>
      </c>
      <c r="I4" s="4">
        <v>1.40729999542236</v>
      </c>
      <c r="J4" s="4">
        <v>1.66600000858307</v>
      </c>
      <c r="K4" s="4">
        <v>1.86070001125336</v>
      </c>
      <c r="L4" s="4">
        <v>2.0030000209808301</v>
      </c>
      <c r="M4" s="4">
        <v>2.2335999011993399</v>
      </c>
    </row>
    <row r="5" spans="2:13" x14ac:dyDescent="0.25">
      <c r="C5" s="4">
        <f>AVERAGE(C2:C4)</f>
        <v>3.8300000131130198E-2</v>
      </c>
      <c r="D5" s="4">
        <f t="shared" ref="D5:M5" si="0">AVERAGE(D2:D4)</f>
        <v>0.268266667922338</v>
      </c>
      <c r="E5" s="4">
        <f t="shared" si="0"/>
        <v>0.52410000562667802</v>
      </c>
      <c r="F5" s="4">
        <f t="shared" si="0"/>
        <v>0.86363333463668801</v>
      </c>
      <c r="G5" s="4">
        <f t="shared" si="0"/>
        <v>0.99669998884201005</v>
      </c>
      <c r="H5" s="4">
        <f t="shared" si="0"/>
        <v>1.1985666751861599</v>
      </c>
      <c r="I5" s="4">
        <f t="shared" si="0"/>
        <v>1.41013336181641</v>
      </c>
      <c r="J5" s="4">
        <f t="shared" si="0"/>
        <v>1.6425666809082</v>
      </c>
      <c r="K5" s="4">
        <f t="shared" si="0"/>
        <v>1.8567000230153401</v>
      </c>
      <c r="L5" s="4">
        <f t="shared" si="0"/>
        <v>1.98566667238871</v>
      </c>
      <c r="M5" s="4">
        <f t="shared" si="0"/>
        <v>2.2301332950592001</v>
      </c>
    </row>
    <row r="8" spans="2:13" ht="13.95" customHeight="1" x14ac:dyDescent="0.25"/>
    <row r="13" spans="2:13" x14ac:dyDescent="0.25">
      <c r="B13" s="14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2:13" x14ac:dyDescent="0.25">
      <c r="B14" s="5" t="s">
        <v>36</v>
      </c>
      <c r="C14" s="6" t="s">
        <v>37</v>
      </c>
      <c r="D14" s="7">
        <v>5.0000000000000001E-3</v>
      </c>
      <c r="E14" s="8">
        <v>0.01</v>
      </c>
      <c r="F14" s="7">
        <v>1.4999999999999999E-2</v>
      </c>
      <c r="G14" s="8">
        <v>0.02</v>
      </c>
      <c r="H14" s="7">
        <v>2.5000000000000001E-2</v>
      </c>
      <c r="I14" s="8">
        <v>0.03</v>
      </c>
      <c r="J14" s="7">
        <v>3.5000000000000003E-2</v>
      </c>
      <c r="K14" s="8">
        <v>0.04</v>
      </c>
      <c r="L14" s="7">
        <v>4.4999999999999998E-2</v>
      </c>
      <c r="M14" s="8">
        <v>0.05</v>
      </c>
    </row>
    <row r="15" spans="2:13" x14ac:dyDescent="0.25">
      <c r="B15" s="5" t="s">
        <v>38</v>
      </c>
      <c r="C15" s="4">
        <v>3.8600001484155697E-2</v>
      </c>
      <c r="D15" s="4">
        <v>0.27369999885559099</v>
      </c>
      <c r="E15" s="4">
        <v>0.52310001850128196</v>
      </c>
      <c r="F15" s="4">
        <v>0.85920000076293901</v>
      </c>
      <c r="G15" s="4">
        <v>0.99699997901916504</v>
      </c>
      <c r="H15" s="4">
        <v>1.17030000686646</v>
      </c>
      <c r="I15" s="4">
        <v>1.4091000556945801</v>
      </c>
      <c r="J15" s="4">
        <v>1.6102000474929801</v>
      </c>
      <c r="K15" s="4">
        <v>1.8464000225067101</v>
      </c>
      <c r="L15" s="4">
        <v>1.9574999809265099</v>
      </c>
      <c r="M15" s="4">
        <v>2.2253999710082999</v>
      </c>
    </row>
    <row r="16" spans="2:13" x14ac:dyDescent="0.25">
      <c r="B16" s="5" t="s">
        <v>39</v>
      </c>
      <c r="C16" s="4">
        <v>3.7799999117851299E-2</v>
      </c>
      <c r="D16" s="4">
        <v>0.26739999651908902</v>
      </c>
      <c r="E16" s="4">
        <v>0.52170002460479703</v>
      </c>
      <c r="F16" s="4">
        <v>0.86720001697540305</v>
      </c>
      <c r="G16" s="4">
        <v>0.99599999189376798</v>
      </c>
      <c r="H16" s="4">
        <v>1.2111999988555899</v>
      </c>
      <c r="I16" s="4">
        <v>1.4140000343322801</v>
      </c>
      <c r="J16" s="4">
        <v>1.65149998664856</v>
      </c>
      <c r="K16" s="4">
        <v>1.8630000352859499</v>
      </c>
      <c r="L16" s="4">
        <v>1.99650001525879</v>
      </c>
      <c r="M16" s="4">
        <v>2.2314000129699698</v>
      </c>
    </row>
    <row r="17" spans="2:13" x14ac:dyDescent="0.25">
      <c r="B17" s="5" t="s">
        <v>40</v>
      </c>
      <c r="C17" s="4">
        <v>3.8499999791383702E-2</v>
      </c>
      <c r="D17" s="4">
        <v>0.26370000839233398</v>
      </c>
      <c r="E17" s="4">
        <v>0.52749997377395597</v>
      </c>
      <c r="F17" s="4">
        <v>0.86449998617172197</v>
      </c>
      <c r="G17" s="4">
        <v>0.99709999561309803</v>
      </c>
      <c r="H17" s="4">
        <v>1.21420001983643</v>
      </c>
      <c r="I17" s="4">
        <v>1.40729999542236</v>
      </c>
      <c r="J17" s="4">
        <v>1.66600000858307</v>
      </c>
      <c r="K17" s="4">
        <v>1.86070001125336</v>
      </c>
      <c r="L17" s="4">
        <v>2.0030000209808301</v>
      </c>
      <c r="M17" s="4">
        <v>2.2335999011993399</v>
      </c>
    </row>
    <row r="18" spans="2:13" x14ac:dyDescent="0.25">
      <c r="B18" s="5" t="s">
        <v>41</v>
      </c>
      <c r="C18" s="4">
        <f t="shared" ref="C18:M18" si="1">AVERAGE(C15:C17)</f>
        <v>3.8300000131130198E-2</v>
      </c>
      <c r="D18" s="4">
        <f t="shared" si="1"/>
        <v>0.268266667922338</v>
      </c>
      <c r="E18" s="4">
        <f t="shared" si="1"/>
        <v>0.52410000562667802</v>
      </c>
      <c r="F18" s="4">
        <f t="shared" si="1"/>
        <v>0.86363333463668801</v>
      </c>
      <c r="G18" s="4">
        <f t="shared" si="1"/>
        <v>0.99669998884201005</v>
      </c>
      <c r="H18" s="4">
        <f t="shared" si="1"/>
        <v>1.1985666751861599</v>
      </c>
      <c r="I18" s="4">
        <f t="shared" si="1"/>
        <v>1.41013336181641</v>
      </c>
      <c r="J18" s="4">
        <f t="shared" si="1"/>
        <v>1.6425666809082</v>
      </c>
      <c r="K18" s="4">
        <f t="shared" si="1"/>
        <v>1.8567000230153401</v>
      </c>
      <c r="L18" s="4">
        <f t="shared" si="1"/>
        <v>1.98566667238871</v>
      </c>
      <c r="M18" s="4">
        <f t="shared" si="1"/>
        <v>2.2301332950592001</v>
      </c>
    </row>
    <row r="19" spans="2:13" x14ac:dyDescent="0.25">
      <c r="B19" s="9" t="s">
        <v>42</v>
      </c>
      <c r="C19" s="9">
        <v>0</v>
      </c>
      <c r="D19" s="10">
        <f>D18-0.0383</f>
        <v>0.229966667922338</v>
      </c>
      <c r="E19" s="10">
        <f t="shared" ref="E19:M19" si="2">E18-0.0383</f>
        <v>0.48580000562667802</v>
      </c>
      <c r="F19" s="10">
        <f t="shared" si="2"/>
        <v>0.82533333463668801</v>
      </c>
      <c r="G19" s="10">
        <f t="shared" si="2"/>
        <v>0.95839998884201005</v>
      </c>
      <c r="H19" s="10">
        <f t="shared" si="2"/>
        <v>1.1602666751861599</v>
      </c>
      <c r="I19" s="10">
        <f t="shared" si="2"/>
        <v>1.37183336181641</v>
      </c>
      <c r="J19" s="10">
        <f t="shared" si="2"/>
        <v>1.6042666809082</v>
      </c>
      <c r="K19" s="10">
        <f t="shared" si="2"/>
        <v>1.8184000230153401</v>
      </c>
      <c r="L19" s="10">
        <f t="shared" si="2"/>
        <v>1.94736667238871</v>
      </c>
      <c r="M19" s="10">
        <f t="shared" si="2"/>
        <v>2.1918332950592001</v>
      </c>
    </row>
  </sheetData>
  <mergeCells count="1">
    <mergeCell ref="B13:M13"/>
  </mergeCells>
  <phoneticPr fontId="3" type="noConversion"/>
  <pageMargins left="0.7" right="0.7" top="0.75" bottom="0.75" header="0.3" footer="0.3"/>
  <pageSetup paperSize="9" orientation="portrait" horizontalDpi="2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="115" zoomScaleNormal="115" workbookViewId="0">
      <selection activeCell="E2" sqref="E2"/>
    </sheetView>
  </sheetViews>
  <sheetFormatPr defaultColWidth="8.77734375" defaultRowHeight="14.4" x14ac:dyDescent="0.25"/>
  <cols>
    <col min="1" max="2" width="11.77734375" style="2" customWidth="1"/>
    <col min="3" max="3" width="9.5546875" customWidth="1"/>
    <col min="4" max="4" width="12.88671875" style="2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s="2">
        <v>0</v>
      </c>
      <c r="B2" s="2">
        <v>0</v>
      </c>
      <c r="C2" s="3">
        <v>2.0466666668653499E-2</v>
      </c>
      <c r="D2" s="2">
        <v>2.3500006645917901E-3</v>
      </c>
    </row>
    <row r="3" spans="1:4" x14ac:dyDescent="0.25">
      <c r="A3" s="2">
        <v>5.0000000000000001E-3</v>
      </c>
      <c r="B3" s="2">
        <v>0.229966667922338</v>
      </c>
      <c r="C3" s="3">
        <v>2.96527778522836E-2</v>
      </c>
      <c r="D3" s="2">
        <v>3.7333332002162899E-3</v>
      </c>
    </row>
    <row r="4" spans="1:4" x14ac:dyDescent="0.25">
      <c r="A4" s="2">
        <v>0.01</v>
      </c>
      <c r="B4" s="2">
        <v>0.48580000562667802</v>
      </c>
      <c r="C4" s="3">
        <v>4.2716665814320202E-2</v>
      </c>
      <c r="D4" s="2">
        <v>7.7333338558673902E-3</v>
      </c>
    </row>
    <row r="5" spans="1:4" x14ac:dyDescent="0.25">
      <c r="A5" s="2">
        <v>1.4999999999999999E-2</v>
      </c>
      <c r="B5" s="2">
        <v>0.82533333463668801</v>
      </c>
      <c r="C5" s="3">
        <v>4.9549998715519898E-2</v>
      </c>
      <c r="D5" s="2">
        <v>9.6666670093933701E-3</v>
      </c>
    </row>
    <row r="6" spans="1:4" x14ac:dyDescent="0.25">
      <c r="A6" s="2">
        <v>0.02</v>
      </c>
      <c r="B6" s="2">
        <v>0.95839998884201005</v>
      </c>
      <c r="C6" s="3">
        <v>5.7383333643277398E-2</v>
      </c>
      <c r="D6" s="2">
        <v>1.3016666596134501E-2</v>
      </c>
    </row>
    <row r="7" spans="1:4" x14ac:dyDescent="0.25">
      <c r="A7" s="2">
        <v>2.5000000000000001E-2</v>
      </c>
      <c r="B7" s="2">
        <v>1.1602666751861599</v>
      </c>
      <c r="C7" s="3">
        <v>6.0283331821362099E-2</v>
      </c>
      <c r="D7" s="2">
        <v>1.7066667477289799E-2</v>
      </c>
    </row>
    <row r="8" spans="1:4" x14ac:dyDescent="0.25">
      <c r="A8" s="2">
        <v>0.03</v>
      </c>
      <c r="B8" s="2">
        <v>1.37183336181641</v>
      </c>
      <c r="C8" s="3">
        <v>6.14333326617875E-2</v>
      </c>
      <c r="D8" s="2">
        <v>1.8483333289623299E-2</v>
      </c>
    </row>
    <row r="9" spans="1:4" x14ac:dyDescent="0.25">
      <c r="A9" s="2">
        <v>3.5000000000000003E-2</v>
      </c>
      <c r="B9" s="2">
        <v>1.6042666809082</v>
      </c>
      <c r="C9" s="3">
        <v>6.2000000849366001E-2</v>
      </c>
      <c r="D9" s="2">
        <v>2.6499999999999999E-2</v>
      </c>
    </row>
    <row r="10" spans="1:4" x14ac:dyDescent="0.25">
      <c r="A10" s="2">
        <v>0.04</v>
      </c>
      <c r="B10" s="2">
        <v>1.8184000230153401</v>
      </c>
      <c r="C10" s="3">
        <v>6.3949998468160296E-2</v>
      </c>
      <c r="D10" s="2">
        <v>3.9399999999999998E-2</v>
      </c>
    </row>
    <row r="11" spans="1:4" x14ac:dyDescent="0.25">
      <c r="A11" s="2">
        <v>4.4999999999999998E-2</v>
      </c>
      <c r="B11" s="2">
        <v>1.94736667238871</v>
      </c>
      <c r="C11" s="3">
        <v>6.5233333036303506E-2</v>
      </c>
      <c r="D11" s="2">
        <v>4.6883333333333298E-2</v>
      </c>
    </row>
    <row r="12" spans="1:4" x14ac:dyDescent="0.25">
      <c r="A12" s="2">
        <v>0.05</v>
      </c>
      <c r="B12" s="2">
        <v>2.1918332950592001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H1" sqref="H1"/>
    </sheetView>
  </sheetViews>
  <sheetFormatPr defaultColWidth="8.77734375" defaultRowHeight="14.4" x14ac:dyDescent="0.25"/>
  <cols>
    <col min="1" max="3" width="7.5546875" style="1" customWidth="1"/>
    <col min="4" max="4" width="6.5546875" style="1" customWidth="1"/>
    <col min="5" max="6" width="7.5546875" style="1" customWidth="1"/>
    <col min="8" max="9" width="8.5546875" style="1" customWidth="1"/>
    <col min="10" max="10" width="7.5546875" style="1" customWidth="1"/>
    <col min="11" max="11" width="6.5546875" style="1" customWidth="1"/>
    <col min="12" max="13" width="7.5546875" style="1" customWidth="1"/>
  </cols>
  <sheetData>
    <row r="1" spans="1:13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25">
      <c r="A2" s="1">
        <v>1.2500000000000001E-2</v>
      </c>
      <c r="B2" s="1">
        <v>1.4E-3</v>
      </c>
      <c r="C2" s="1">
        <v>2.63E-2</v>
      </c>
      <c r="D2" s="1">
        <v>2.7E-2</v>
      </c>
      <c r="E2" s="1">
        <v>1.2699999999999999E-2</v>
      </c>
      <c r="F2" s="1">
        <v>1.5E-3</v>
      </c>
      <c r="H2" s="1">
        <v>-1.1999999999999999E-3</v>
      </c>
      <c r="I2" s="1">
        <v>-3.0000000000000198E-4</v>
      </c>
      <c r="J2" s="1">
        <v>2.5000000000000001E-3</v>
      </c>
      <c r="K2" s="1">
        <v>2.7E-2</v>
      </c>
      <c r="L2" s="1">
        <v>1.2699999999999999E-2</v>
      </c>
      <c r="M2" s="1">
        <v>1.5E-3</v>
      </c>
    </row>
    <row r="3" spans="1:13" x14ac:dyDescent="0.25">
      <c r="A3" s="1">
        <v>5.2999999999999999E-2</v>
      </c>
      <c r="B3" s="1">
        <v>3.5999999999999997E-2</v>
      </c>
      <c r="C3" s="1">
        <v>3.3000000000000002E-2</v>
      </c>
      <c r="D3" s="1">
        <v>4.5999999999999999E-2</v>
      </c>
      <c r="E3" s="1">
        <v>3.7999999999999999E-2</v>
      </c>
      <c r="F3" s="1">
        <v>3.7999999999999999E-2</v>
      </c>
      <c r="H3" s="1">
        <v>7.0000000000000001E-3</v>
      </c>
      <c r="I3" s="1">
        <v>1.7000000000000001E-2</v>
      </c>
      <c r="J3" s="1">
        <v>1.7000000000000001E-2</v>
      </c>
      <c r="K3" s="1">
        <v>2.5999999999999999E-2</v>
      </c>
      <c r="L3" s="1">
        <v>1.4E-2</v>
      </c>
      <c r="M3" s="1">
        <v>2.4E-2</v>
      </c>
    </row>
    <row r="4" spans="1:13" x14ac:dyDescent="0.25">
      <c r="A4" s="1">
        <v>2.1000000000000001E-2</v>
      </c>
      <c r="B4" s="1">
        <v>4.2000000000000003E-2</v>
      </c>
      <c r="C4" s="1">
        <v>8.3000000000000004E-2</v>
      </c>
      <c r="D4" s="1">
        <v>7.3999999999999996E-2</v>
      </c>
      <c r="E4" s="1">
        <v>8.7999999999999995E-2</v>
      </c>
      <c r="F4" s="1">
        <v>7.9000000000000001E-2</v>
      </c>
      <c r="H4" s="1">
        <v>7.4999999999999997E-2</v>
      </c>
      <c r="I4" s="1">
        <v>0.03</v>
      </c>
      <c r="J4" s="1">
        <v>4.7E-2</v>
      </c>
      <c r="K4" s="1">
        <v>6.5000000000000002E-2</v>
      </c>
      <c r="L4" s="1">
        <v>0.06</v>
      </c>
      <c r="M4" s="1">
        <v>5.2999999999999999E-2</v>
      </c>
    </row>
    <row r="5" spans="1:13" x14ac:dyDescent="0.25">
      <c r="A5" s="1">
        <v>3.5000000000000003E-2</v>
      </c>
      <c r="B5" s="1">
        <v>4.4999999999999998E-2</v>
      </c>
      <c r="C5" s="1">
        <v>6.2E-2</v>
      </c>
      <c r="D5" s="1">
        <v>6.0999999999999999E-2</v>
      </c>
      <c r="E5" s="1">
        <v>6.9000000000000006E-2</v>
      </c>
      <c r="F5" s="1">
        <v>5.8999999999999997E-2</v>
      </c>
      <c r="H5" s="1">
        <v>3.1E-2</v>
      </c>
      <c r="I5" s="1">
        <v>5.8999999999999997E-2</v>
      </c>
      <c r="J5" s="1">
        <v>6.4000000000000001E-2</v>
      </c>
      <c r="K5" s="1">
        <v>7.0000000000000007E-2</v>
      </c>
      <c r="L5" s="1">
        <v>8.2000000000000003E-2</v>
      </c>
      <c r="M5" s="1">
        <v>6.3E-2</v>
      </c>
    </row>
    <row r="6" spans="1:13" x14ac:dyDescent="0.25">
      <c r="A6" s="1">
        <v>4.7E-2</v>
      </c>
      <c r="B6" s="1">
        <v>5.3999999999999999E-2</v>
      </c>
      <c r="C6" s="1">
        <v>6.5000000000000002E-2</v>
      </c>
      <c r="D6" s="1">
        <v>7.5999999999999998E-2</v>
      </c>
      <c r="E6" s="1">
        <v>8.7999999999999995E-2</v>
      </c>
      <c r="F6" s="1">
        <v>7.5999999999999998E-2</v>
      </c>
      <c r="H6" s="1">
        <v>3.4000000000000002E-2</v>
      </c>
      <c r="I6" s="1">
        <v>5.0999999999999997E-2</v>
      </c>
      <c r="J6" s="1">
        <v>8.7999999999999995E-2</v>
      </c>
      <c r="K6" s="1">
        <v>8.3000000000000004E-2</v>
      </c>
      <c r="L6" s="1">
        <v>0.10299999999999999</v>
      </c>
      <c r="M6" s="1">
        <v>8.2000000000000003E-2</v>
      </c>
    </row>
    <row r="7" spans="1:13" x14ac:dyDescent="0.25">
      <c r="A7" s="1">
        <v>4.2999999999999997E-2</v>
      </c>
      <c r="B7" s="1">
        <v>6.3E-2</v>
      </c>
      <c r="C7" s="1">
        <v>7.0999999999999994E-2</v>
      </c>
      <c r="D7" s="1">
        <v>8.7999999999999995E-2</v>
      </c>
      <c r="E7" s="1">
        <v>8.7999999999999995E-2</v>
      </c>
      <c r="F7" s="1">
        <v>8.1000000000000003E-2</v>
      </c>
      <c r="H7" s="1">
        <v>3.5999999999999997E-2</v>
      </c>
      <c r="I7" s="1">
        <v>5.8000000000000003E-2</v>
      </c>
      <c r="J7" s="1">
        <v>7.9000000000000001E-2</v>
      </c>
      <c r="K7" s="1">
        <v>9.5000000000000001E-2</v>
      </c>
      <c r="L7" s="1">
        <v>9.6000000000000002E-2</v>
      </c>
      <c r="M7" s="1">
        <v>8.5000000000000006E-2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>
      <selection activeCell="H17" sqref="H17"/>
    </sheetView>
  </sheetViews>
  <sheetFormatPr defaultColWidth="8.77734375" defaultRowHeight="14.4" x14ac:dyDescent="0.25"/>
  <sheetData>
    <row r="1" spans="1:12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</row>
    <row r="2" spans="1:12" x14ac:dyDescent="0.25">
      <c r="A2">
        <v>1.56666666666667E-3</v>
      </c>
      <c r="B2">
        <v>7.66666666666672E-4</v>
      </c>
      <c r="C2">
        <v>2.46666666666667E-3</v>
      </c>
      <c r="D2">
        <v>2.16666666666667E-3</v>
      </c>
      <c r="E2">
        <v>2.3666666666666701E-3</v>
      </c>
      <c r="F2">
        <v>1.4666666666666699E-3</v>
      </c>
      <c r="G2">
        <v>8.9999999999999802E-4</v>
      </c>
      <c r="H2">
        <v>2.5000000000000001E-3</v>
      </c>
      <c r="I2">
        <v>1.6000000000000001E-3</v>
      </c>
      <c r="J2">
        <v>1.9E-3</v>
      </c>
      <c r="K2">
        <v>1.9999999999999901E-3</v>
      </c>
      <c r="L2">
        <v>0</v>
      </c>
    </row>
    <row r="3" spans="1:12" x14ac:dyDescent="0.25">
      <c r="A3">
        <v>2.2666666666666699E-3</v>
      </c>
      <c r="B3">
        <v>4.6666666666666697E-3</v>
      </c>
      <c r="C3">
        <v>4.3666666666666697E-3</v>
      </c>
      <c r="D3">
        <v>9.6666666666666706E-3</v>
      </c>
      <c r="E3">
        <v>4.46666666666667E-3</v>
      </c>
      <c r="F3">
        <v>7.1666666666666701E-3</v>
      </c>
      <c r="G3">
        <v>1.73333333333333E-3</v>
      </c>
      <c r="H3">
        <v>2.3333333333333301E-3</v>
      </c>
      <c r="I3">
        <v>4.0333333333333297E-3</v>
      </c>
      <c r="J3">
        <v>3.63333333333333E-3</v>
      </c>
      <c r="K3">
        <v>1.63333333333333E-3</v>
      </c>
      <c r="L3">
        <v>4.4333333333333299E-3</v>
      </c>
    </row>
    <row r="4" spans="1:12" x14ac:dyDescent="0.25">
      <c r="A4">
        <v>5.3666666666666698E-3</v>
      </c>
      <c r="B4">
        <v>4.0666666666666698E-3</v>
      </c>
      <c r="C4">
        <v>9.2666666666666696E-3</v>
      </c>
      <c r="D4">
        <v>8.1666666666666693E-3</v>
      </c>
      <c r="E4">
        <v>6.5666666666666703E-3</v>
      </c>
      <c r="F4">
        <v>6.9666666666666696E-3</v>
      </c>
      <c r="G4">
        <v>3.9666666666666704E-3</v>
      </c>
      <c r="H4">
        <v>8.7666666666666691E-3</v>
      </c>
      <c r="I4">
        <v>3.46666666666667E-3</v>
      </c>
      <c r="J4">
        <v>5.0666666666666698E-3</v>
      </c>
      <c r="K4">
        <v>2.46666666666667E-3</v>
      </c>
      <c r="L4">
        <v>2.8666666666666701E-3</v>
      </c>
    </row>
    <row r="5" spans="1:12" x14ac:dyDescent="0.25">
      <c r="A5">
        <v>7.1666666666666701E-3</v>
      </c>
      <c r="B5">
        <v>7.5666666666666703E-3</v>
      </c>
      <c r="C5">
        <v>9.6666666666666706E-3</v>
      </c>
      <c r="D5">
        <v>1.02666666666667E-2</v>
      </c>
      <c r="E5">
        <v>8.2666666666666704E-3</v>
      </c>
      <c r="F5">
        <v>7.0666666666666699E-3</v>
      </c>
      <c r="G5">
        <v>9.6333333333333392E-3</v>
      </c>
      <c r="H5">
        <v>5.8333333333333397E-3</v>
      </c>
      <c r="I5">
        <v>4.2333333333333398E-3</v>
      </c>
      <c r="J5">
        <v>6.5333333333333398E-3</v>
      </c>
      <c r="K5">
        <v>4.9333333333333399E-3</v>
      </c>
      <c r="L5">
        <v>4.0333333333333402E-3</v>
      </c>
    </row>
    <row r="6" spans="1:12" x14ac:dyDescent="0.25">
      <c r="A6">
        <v>7.9666666666666705E-3</v>
      </c>
      <c r="B6">
        <v>8.3666666666666698E-3</v>
      </c>
      <c r="C6">
        <v>8.4666666666666692E-3</v>
      </c>
      <c r="D6">
        <v>8.2666666666666704E-3</v>
      </c>
      <c r="E6">
        <v>7.8666666666666694E-3</v>
      </c>
      <c r="F6">
        <v>8.5666666666666703E-3</v>
      </c>
      <c r="G6">
        <v>3.5333333333333401E-3</v>
      </c>
      <c r="H6">
        <v>2.7333333333333402E-3</v>
      </c>
      <c r="I6">
        <v>1.06333333333333E-2</v>
      </c>
      <c r="J6">
        <v>1.4533333333333299E-2</v>
      </c>
      <c r="K6">
        <v>9.9333333333333391E-3</v>
      </c>
      <c r="L6">
        <v>1.15333333333333E-2</v>
      </c>
    </row>
    <row r="7" spans="1:12" x14ac:dyDescent="0.25">
      <c r="A7">
        <v>8.8666666666666703E-3</v>
      </c>
      <c r="B7">
        <v>1.5966666666666698E-2</v>
      </c>
      <c r="C7">
        <v>1.7766666666666701E-2</v>
      </c>
      <c r="D7">
        <v>2.4166666666666701E-2</v>
      </c>
      <c r="E7">
        <v>1.8266666666666698E-2</v>
      </c>
      <c r="F7">
        <v>1.3566666666666701E-2</v>
      </c>
      <c r="G7">
        <v>8.0166666666666598E-3</v>
      </c>
      <c r="H7">
        <v>1.45166666666667E-2</v>
      </c>
      <c r="I7">
        <v>1.6316666666666702E-2</v>
      </c>
      <c r="J7">
        <v>1.22166666666667E-2</v>
      </c>
      <c r="K7">
        <v>1.05166666666667E-2</v>
      </c>
      <c r="L7">
        <v>1.3516666666666699E-2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original data</vt:lpstr>
      <vt:lpstr>balls</vt:lpstr>
      <vt:lpstr>capsules</vt:lpstr>
      <vt:lpstr>trypan blue absorbance</vt:lpstr>
      <vt:lpstr>datain</vt:lpstr>
      <vt:lpstr>data23</vt:lpstr>
      <vt:lpstr>data23capsule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姚子墨</dc:creator>
  <cp:lastModifiedBy>子墨 姚</cp:lastModifiedBy>
  <dcterms:created xsi:type="dcterms:W3CDTF">2006-09-13T11:21:00Z</dcterms:created>
  <dcterms:modified xsi:type="dcterms:W3CDTF">2025-11-29T15:51:59Z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54F27B8ED0AF4B0FAC058DA16D9A841B_13</vt:lpwstr>
  </property>
  <property fmtid="{D5CDD505-2E9C-101B-9397-08002B2CF9AE}" pid="3" name="KSOProductBuildVer">
    <vt:lpwstr>2052-12.1.0.23542</vt:lpwstr>
  </property>
</Properties>
</file>