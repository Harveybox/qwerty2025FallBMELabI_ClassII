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yz\Desktop\生医工实验\qwerty2025FallBMELabI_ClassII\Lab4-5\"/>
    </mc:Choice>
  </mc:AlternateContent>
  <xr:revisionPtr revIDLastSave="0" documentId="13_ncr:1_{F3A57334-978E-4E3C-857F-94260D82DAEF}" xr6:coauthVersionLast="47" xr6:coauthVersionMax="47" xr10:uidLastSave="{00000000-0000-0000-0000-000000000000}"/>
  <bookViews>
    <workbookView xWindow="348" yWindow="948" windowWidth="16200" windowHeight="8940" activeTab="4" xr2:uid="{B12BD85A-CCBC-4900-8937-1CEE08F09DAB}"/>
  </bookViews>
  <sheets>
    <sheet name="微球4.5" sheetId="1" r:id="rId1"/>
    <sheet name="微球6" sheetId="2" r:id="rId2"/>
    <sheet name="胶囊4.5" sheetId="3" r:id="rId3"/>
    <sheet name="胶囊6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E10" i="4" s="1"/>
  <c r="E14" i="4"/>
  <c r="D14" i="4"/>
  <c r="B14" i="4"/>
  <c r="F11" i="4"/>
  <c r="H7" i="4"/>
  <c r="G15" i="4" s="1"/>
  <c r="H6" i="4"/>
  <c r="G14" i="4" s="1"/>
  <c r="H5" i="4"/>
  <c r="G13" i="4" s="1"/>
  <c r="H4" i="4"/>
  <c r="G12" i="4" s="1"/>
  <c r="H3" i="4"/>
  <c r="G11" i="4" s="1"/>
  <c r="E13" i="3"/>
  <c r="B13" i="3"/>
  <c r="H3" i="3"/>
  <c r="G11" i="3" s="1"/>
  <c r="H4" i="3"/>
  <c r="G12" i="3" s="1"/>
  <c r="H5" i="3"/>
  <c r="C13" i="3" s="1"/>
  <c r="H6" i="3"/>
  <c r="F14" i="3" s="1"/>
  <c r="H7" i="3"/>
  <c r="F15" i="3" s="1"/>
  <c r="H2" i="3"/>
  <c r="G10" i="3" s="1"/>
  <c r="G2" i="2"/>
  <c r="F2" i="2"/>
  <c r="E2" i="2"/>
  <c r="D2" i="2"/>
  <c r="C2" i="2"/>
  <c r="B2" i="2"/>
  <c r="G2" i="1"/>
  <c r="F2" i="1"/>
  <c r="E2" i="1"/>
  <c r="D2" i="1"/>
  <c r="C2" i="1"/>
  <c r="B2" i="1"/>
  <c r="F11" i="3" l="1"/>
  <c r="B11" i="3"/>
  <c r="C11" i="3"/>
  <c r="D11" i="3"/>
  <c r="E15" i="4"/>
  <c r="F15" i="4"/>
  <c r="B15" i="4"/>
  <c r="D15" i="4"/>
  <c r="B15" i="3"/>
  <c r="G15" i="3"/>
  <c r="D15" i="3"/>
  <c r="E15" i="3"/>
  <c r="C15" i="3"/>
  <c r="G14" i="3"/>
  <c r="E14" i="3"/>
  <c r="C14" i="3"/>
  <c r="B14" i="3"/>
  <c r="D14" i="3"/>
  <c r="G13" i="3"/>
  <c r="D13" i="3"/>
  <c r="F13" i="3"/>
  <c r="D11" i="4"/>
  <c r="E11" i="4"/>
  <c r="B11" i="4"/>
  <c r="E12" i="3"/>
  <c r="D12" i="3"/>
  <c r="F12" i="3"/>
  <c r="C12" i="3"/>
  <c r="B12" i="3"/>
  <c r="E11" i="3"/>
  <c r="G10" i="4"/>
  <c r="D10" i="4"/>
  <c r="B10" i="4"/>
  <c r="B12" i="4"/>
  <c r="B13" i="4"/>
  <c r="C10" i="4"/>
  <c r="C11" i="4"/>
  <c r="C12" i="4"/>
  <c r="C13" i="4"/>
  <c r="C14" i="4"/>
  <c r="C15" i="4"/>
  <c r="D12" i="4"/>
  <c r="D13" i="4"/>
  <c r="E12" i="4"/>
  <c r="E13" i="4"/>
  <c r="F10" i="4"/>
  <c r="F12" i="4"/>
  <c r="F13" i="4"/>
  <c r="F14" i="4"/>
  <c r="B10" i="3"/>
  <c r="C10" i="3"/>
  <c r="D10" i="3"/>
  <c r="E10" i="3"/>
  <c r="F10" i="3"/>
</calcChain>
</file>

<file path=xl/sharedStrings.xml><?xml version="1.0" encoding="utf-8"?>
<sst xmlns="http://schemas.openxmlformats.org/spreadsheetml/2006/main" count="62" uniqueCount="17">
  <si>
    <t>n</t>
    <phoneticPr fontId="1" type="noConversion"/>
  </si>
  <si>
    <t>2n</t>
    <phoneticPr fontId="1" type="noConversion"/>
  </si>
  <si>
    <t>4n</t>
    <phoneticPr fontId="1" type="noConversion"/>
  </si>
  <si>
    <t>6n</t>
    <phoneticPr fontId="1" type="noConversion"/>
  </si>
  <si>
    <t>8n</t>
    <phoneticPr fontId="1" type="noConversion"/>
  </si>
  <si>
    <t>10n</t>
    <phoneticPr fontId="1" type="noConversion"/>
  </si>
  <si>
    <t>3n</t>
    <phoneticPr fontId="1" type="noConversion"/>
  </si>
  <si>
    <t>5n</t>
    <phoneticPr fontId="1" type="noConversion"/>
  </si>
  <si>
    <t>Blank_Avg</t>
    <phoneticPr fontId="1" type="noConversion"/>
  </si>
  <si>
    <t>Time (min)</t>
    <phoneticPr fontId="1" type="noConversion"/>
  </si>
  <si>
    <t>Sample No.</t>
    <phoneticPr fontId="1" type="noConversion"/>
  </si>
  <si>
    <t>Diameter (μm）</t>
    <phoneticPr fontId="1" type="noConversion"/>
  </si>
  <si>
    <t>#4.5</t>
  </si>
  <si>
    <t>#4.5</t>
    <phoneticPr fontId="1" type="noConversion"/>
  </si>
  <si>
    <t>#12</t>
    <phoneticPr fontId="1" type="noConversion"/>
  </si>
  <si>
    <t>Wall-Thickness  (μm）</t>
    <phoneticPr fontId="1" type="noConversion"/>
  </si>
  <si>
    <t>#6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</si>
</sst>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19627701904493"/>
          <c:y val="0.31942727589158881"/>
          <c:w val="0.8688037229809551"/>
          <c:h val="0.59360370276296104"/>
        </c:manualLayout>
      </c:layout>
      <c:lineChart>
        <c:grouping val="standard"/>
        <c:varyColors val="0"/>
        <c:ser>
          <c:idx val="0"/>
          <c:order val="0"/>
          <c:tx>
            <c:strRef>
              <c:f>'微球4.5'!$B$1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'微球4.5'!$A$2:$A$7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'微球4.5'!$B$2:$B$7</c:f>
              <c:numCache>
                <c:formatCode>General</c:formatCode>
                <c:ptCount val="6"/>
                <c:pt idx="0">
                  <c:v>1.2499999999999997E-2</c:v>
                </c:pt>
                <c:pt idx="1">
                  <c:v>5.2999999999999999E-2</c:v>
                </c:pt>
                <c:pt idx="2">
                  <c:v>2.1000000000000001E-2</c:v>
                </c:pt>
                <c:pt idx="3">
                  <c:v>3.5000000000000003E-2</c:v>
                </c:pt>
                <c:pt idx="4">
                  <c:v>4.7E-2</c:v>
                </c:pt>
                <c:pt idx="5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3-4671-82EF-A88767C734C4}"/>
            </c:ext>
          </c:extLst>
        </c:ser>
        <c:ser>
          <c:idx val="1"/>
          <c:order val="1"/>
          <c:tx>
            <c:strRef>
              <c:f>'微球4.5'!$C$1</c:f>
              <c:strCache>
                <c:ptCount val="1"/>
                <c:pt idx="0">
                  <c:v>2n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'微球4.5'!$A$2:$A$7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'微球4.5'!$C$2:$C$7</c:f>
              <c:numCache>
                <c:formatCode>General</c:formatCode>
                <c:ptCount val="6"/>
                <c:pt idx="0">
                  <c:v>1.3999999999999985E-3</c:v>
                </c:pt>
                <c:pt idx="1">
                  <c:v>3.5999999999999997E-2</c:v>
                </c:pt>
                <c:pt idx="2">
                  <c:v>4.2000000000000003E-2</c:v>
                </c:pt>
                <c:pt idx="3">
                  <c:v>4.4999999999999998E-2</c:v>
                </c:pt>
                <c:pt idx="4">
                  <c:v>5.3999999999999999E-2</c:v>
                </c:pt>
                <c:pt idx="5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3-4671-82EF-A88767C734C4}"/>
            </c:ext>
          </c:extLst>
        </c:ser>
        <c:ser>
          <c:idx val="2"/>
          <c:order val="2"/>
          <c:tx>
            <c:strRef>
              <c:f>'微球4.5'!$D$1</c:f>
              <c:strCache>
                <c:ptCount val="1"/>
                <c:pt idx="0">
                  <c:v>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'微球4.5'!$A$2:$A$7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'微球4.5'!$D$2:$D$7</c:f>
              <c:numCache>
                <c:formatCode>General</c:formatCode>
                <c:ptCount val="6"/>
                <c:pt idx="0">
                  <c:v>2.6300000000000004E-2</c:v>
                </c:pt>
                <c:pt idx="1">
                  <c:v>3.3000000000000002E-2</c:v>
                </c:pt>
                <c:pt idx="2">
                  <c:v>8.3000000000000004E-2</c:v>
                </c:pt>
                <c:pt idx="3">
                  <c:v>6.2E-2</c:v>
                </c:pt>
                <c:pt idx="4">
                  <c:v>6.5000000000000002E-2</c:v>
                </c:pt>
                <c:pt idx="5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33-4671-82EF-A88767C734C4}"/>
            </c:ext>
          </c:extLst>
        </c:ser>
        <c:ser>
          <c:idx val="3"/>
          <c:order val="3"/>
          <c:tx>
            <c:strRef>
              <c:f>'微球4.5'!$E$1</c:f>
              <c:strCache>
                <c:ptCount val="1"/>
                <c:pt idx="0">
                  <c:v>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'微球4.5'!$A$2:$A$7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'微球4.5'!$E$2:$E$7</c:f>
              <c:numCache>
                <c:formatCode>General</c:formatCode>
                <c:ptCount val="6"/>
                <c:pt idx="0">
                  <c:v>2.6999999999999996E-2</c:v>
                </c:pt>
                <c:pt idx="1">
                  <c:v>4.5999999999999999E-2</c:v>
                </c:pt>
                <c:pt idx="2">
                  <c:v>7.3999999999999996E-2</c:v>
                </c:pt>
                <c:pt idx="3">
                  <c:v>6.0999999999999999E-2</c:v>
                </c:pt>
                <c:pt idx="4">
                  <c:v>7.5999999999999998E-2</c:v>
                </c:pt>
                <c:pt idx="5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33-4671-82EF-A88767C734C4}"/>
            </c:ext>
          </c:extLst>
        </c:ser>
        <c:ser>
          <c:idx val="4"/>
          <c:order val="4"/>
          <c:tx>
            <c:strRef>
              <c:f>'微球4.5'!$F$1</c:f>
              <c:strCache>
                <c:ptCount val="1"/>
                <c:pt idx="0">
                  <c:v>8n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'微球4.5'!$A$2:$A$7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'微球4.5'!$F$2:$F$7</c:f>
              <c:numCache>
                <c:formatCode>General</c:formatCode>
                <c:ptCount val="6"/>
                <c:pt idx="0">
                  <c:v>1.2699999999999996E-2</c:v>
                </c:pt>
                <c:pt idx="1">
                  <c:v>3.7999999999999999E-2</c:v>
                </c:pt>
                <c:pt idx="2">
                  <c:v>8.7999999999999995E-2</c:v>
                </c:pt>
                <c:pt idx="3">
                  <c:v>6.9000000000000006E-2</c:v>
                </c:pt>
                <c:pt idx="4">
                  <c:v>8.7999999999999995E-2</c:v>
                </c:pt>
                <c:pt idx="5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33-4671-82EF-A88767C734C4}"/>
            </c:ext>
          </c:extLst>
        </c:ser>
        <c:ser>
          <c:idx val="5"/>
          <c:order val="5"/>
          <c:tx>
            <c:strRef>
              <c:f>'微球4.5'!$G$1</c:f>
              <c:strCache>
                <c:ptCount val="1"/>
                <c:pt idx="0">
                  <c:v>10n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'微球4.5'!$A$2:$A$7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'微球4.5'!$G$2:$G$7</c:f>
              <c:numCache>
                <c:formatCode>General</c:formatCode>
                <c:ptCount val="6"/>
                <c:pt idx="0">
                  <c:v>1.5000000000000013E-3</c:v>
                </c:pt>
                <c:pt idx="1">
                  <c:v>3.7999999999999999E-2</c:v>
                </c:pt>
                <c:pt idx="2">
                  <c:v>7.9000000000000001E-2</c:v>
                </c:pt>
                <c:pt idx="3">
                  <c:v>5.8999999999999997E-2</c:v>
                </c:pt>
                <c:pt idx="4">
                  <c:v>7.5999999999999998E-2</c:v>
                </c:pt>
                <c:pt idx="5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33-4671-82EF-A88767C73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48896"/>
        <c:axId val="431842240"/>
      </c:lineChart>
      <c:catAx>
        <c:axId val="4318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842240"/>
        <c:crosses val="autoZero"/>
        <c:auto val="1"/>
        <c:lblAlgn val="ctr"/>
        <c:lblOffset val="100"/>
        <c:noMultiLvlLbl val="0"/>
      </c:catAx>
      <c:valAx>
        <c:axId val="4318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84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微球6!$B$1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微球6!$A$2:$A$7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微球6!$B$2:$B$7</c:f>
              <c:numCache>
                <c:formatCode>General</c:formatCode>
                <c:ptCount val="6"/>
                <c:pt idx="0">
                  <c:v>-1.1999999999999997E-3</c:v>
                </c:pt>
                <c:pt idx="1">
                  <c:v>7.0000000000000001E-3</c:v>
                </c:pt>
                <c:pt idx="2">
                  <c:v>7.4999999999999997E-2</c:v>
                </c:pt>
                <c:pt idx="3">
                  <c:v>3.1E-2</c:v>
                </c:pt>
                <c:pt idx="4">
                  <c:v>3.4000000000000002E-2</c:v>
                </c:pt>
                <c:pt idx="5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8-4868-B2F4-D7BA09B67A6F}"/>
            </c:ext>
          </c:extLst>
        </c:ser>
        <c:ser>
          <c:idx val="1"/>
          <c:order val="1"/>
          <c:tx>
            <c:strRef>
              <c:f>微球6!$C$1</c:f>
              <c:strCache>
                <c:ptCount val="1"/>
                <c:pt idx="0">
                  <c:v>2n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微球6!$A$2:$A$7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微球6!$C$2:$C$7</c:f>
              <c:numCache>
                <c:formatCode>General</c:formatCode>
                <c:ptCount val="6"/>
                <c:pt idx="0">
                  <c:v>-3.0000000000000165E-4</c:v>
                </c:pt>
                <c:pt idx="1">
                  <c:v>1.7000000000000001E-2</c:v>
                </c:pt>
                <c:pt idx="2">
                  <c:v>0.03</c:v>
                </c:pt>
                <c:pt idx="3">
                  <c:v>5.8999999999999997E-2</c:v>
                </c:pt>
                <c:pt idx="4">
                  <c:v>5.0999999999999997E-2</c:v>
                </c:pt>
                <c:pt idx="5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8-4868-B2F4-D7BA09B67A6F}"/>
            </c:ext>
          </c:extLst>
        </c:ser>
        <c:ser>
          <c:idx val="2"/>
          <c:order val="2"/>
          <c:tx>
            <c:strRef>
              <c:f>微球6!$D$1</c:f>
              <c:strCache>
                <c:ptCount val="1"/>
                <c:pt idx="0">
                  <c:v>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微球6!$A$2:$A$7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微球6!$D$2:$D$7</c:f>
              <c:numCache>
                <c:formatCode>General</c:formatCode>
                <c:ptCount val="6"/>
                <c:pt idx="0">
                  <c:v>2.4999999999999953E-3</c:v>
                </c:pt>
                <c:pt idx="1">
                  <c:v>1.7000000000000001E-2</c:v>
                </c:pt>
                <c:pt idx="2">
                  <c:v>4.7E-2</c:v>
                </c:pt>
                <c:pt idx="3">
                  <c:v>6.4000000000000001E-2</c:v>
                </c:pt>
                <c:pt idx="4">
                  <c:v>8.7999999999999995E-2</c:v>
                </c:pt>
                <c:pt idx="5">
                  <c:v>7.9000000000000001E-2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8-4868-B2F4-D7BA09B67A6F}"/>
            </c:ext>
          </c:extLst>
        </c:ser>
        <c:ser>
          <c:idx val="3"/>
          <c:order val="3"/>
          <c:tx>
            <c:strRef>
              <c:f>微球6!$E$1</c:f>
              <c:strCache>
                <c:ptCount val="1"/>
                <c:pt idx="0">
                  <c:v>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微球6!$A$2:$A$7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微球6!$E$2:$E$7</c:f>
              <c:numCache>
                <c:formatCode>General</c:formatCode>
                <c:ptCount val="6"/>
                <c:pt idx="0">
                  <c:v>2.6999999999999996E-2</c:v>
                </c:pt>
                <c:pt idx="1">
                  <c:v>2.5999999999999999E-2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8.3000000000000004E-2</c:v>
                </c:pt>
                <c:pt idx="5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98-4868-B2F4-D7BA09B67A6F}"/>
            </c:ext>
          </c:extLst>
        </c:ser>
        <c:ser>
          <c:idx val="4"/>
          <c:order val="4"/>
          <c:tx>
            <c:strRef>
              <c:f>微球6!$F$1</c:f>
              <c:strCache>
                <c:ptCount val="1"/>
                <c:pt idx="0">
                  <c:v>8n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微球6!$A$2:$A$7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微球6!$F$2:$F$7</c:f>
              <c:numCache>
                <c:formatCode>General</c:formatCode>
                <c:ptCount val="6"/>
                <c:pt idx="0">
                  <c:v>1.2699999999999996E-2</c:v>
                </c:pt>
                <c:pt idx="1">
                  <c:v>1.4E-2</c:v>
                </c:pt>
                <c:pt idx="2">
                  <c:v>0.06</c:v>
                </c:pt>
                <c:pt idx="3">
                  <c:v>8.2000000000000003E-2</c:v>
                </c:pt>
                <c:pt idx="4">
                  <c:v>0.10299999999999999</c:v>
                </c:pt>
                <c:pt idx="5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98-4868-B2F4-D7BA09B67A6F}"/>
            </c:ext>
          </c:extLst>
        </c:ser>
        <c:ser>
          <c:idx val="5"/>
          <c:order val="5"/>
          <c:tx>
            <c:strRef>
              <c:f>微球6!$G$1</c:f>
              <c:strCache>
                <c:ptCount val="1"/>
                <c:pt idx="0">
                  <c:v>10n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微球6!$A$2:$A$7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微球6!$G$2:$G$7</c:f>
              <c:numCache>
                <c:formatCode>General</c:formatCode>
                <c:ptCount val="6"/>
                <c:pt idx="0">
                  <c:v>1.5000000000000013E-3</c:v>
                </c:pt>
                <c:pt idx="1">
                  <c:v>2.4E-2</c:v>
                </c:pt>
                <c:pt idx="2">
                  <c:v>5.2999999999999999E-2</c:v>
                </c:pt>
                <c:pt idx="3">
                  <c:v>6.3E-2</c:v>
                </c:pt>
                <c:pt idx="4">
                  <c:v>8.2000000000000003E-2</c:v>
                </c:pt>
                <c:pt idx="5">
                  <c:v>8.5000000000000006E-2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98-4868-B2F4-D7BA09B67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704880"/>
        <c:axId val="290711120"/>
      </c:lineChart>
      <c:catAx>
        <c:axId val="2907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0711120"/>
        <c:crosses val="autoZero"/>
        <c:auto val="1"/>
        <c:lblAlgn val="ctr"/>
        <c:lblOffset val="100"/>
        <c:noMultiLvlLbl val="0"/>
      </c:catAx>
      <c:valAx>
        <c:axId val="2907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070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'胶囊4.5'!$B$9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'胶囊4.5'!$A$10:$A$15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'胶囊4.5'!$B$10:$B$15</c:f>
              <c:numCache>
                <c:formatCode>General</c:formatCode>
                <c:ptCount val="6"/>
                <c:pt idx="0">
                  <c:v>1.5666666666666745E-3</c:v>
                </c:pt>
                <c:pt idx="1">
                  <c:v>1.6600000000000018E-3</c:v>
                </c:pt>
                <c:pt idx="2">
                  <c:v>4.233333333333332E-3</c:v>
                </c:pt>
                <c:pt idx="3">
                  <c:v>4.2666666666666686E-3</c:v>
                </c:pt>
                <c:pt idx="4">
                  <c:v>3.8333333333333275E-4</c:v>
                </c:pt>
                <c:pt idx="5">
                  <c:v>5.3333333333333358E-3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2-4DB2-B9B9-BB4BA971C608}"/>
            </c:ext>
          </c:extLst>
        </c:ser>
        <c:ser>
          <c:idx val="1"/>
          <c:order val="1"/>
          <c:tx>
            <c:strRef>
              <c:f>'胶囊4.5'!$C$9</c:f>
              <c:strCache>
                <c:ptCount val="1"/>
                <c:pt idx="0">
                  <c:v>2n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'胶囊4.5'!$A$10:$A$15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'胶囊4.5'!$C$10:$C$15</c:f>
              <c:numCache>
                <c:formatCode>General</c:formatCode>
                <c:ptCount val="6"/>
                <c:pt idx="0">
                  <c:v>7.6666666666667244E-4</c:v>
                </c:pt>
                <c:pt idx="1">
                  <c:v>4.0600000000000011E-3</c:v>
                </c:pt>
                <c:pt idx="2">
                  <c:v>2.9333333333333295E-3</c:v>
                </c:pt>
                <c:pt idx="3">
                  <c:v>4.6666666666666731E-3</c:v>
                </c:pt>
                <c:pt idx="4">
                  <c:v>7.8333333333333033E-4</c:v>
                </c:pt>
                <c:pt idx="5">
                  <c:v>1.2433333333333338E-2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2-4DB2-B9B9-BB4BA971C608}"/>
            </c:ext>
          </c:extLst>
        </c:ser>
        <c:ser>
          <c:idx val="2"/>
          <c:order val="2"/>
          <c:tx>
            <c:strRef>
              <c:f>'胶囊4.5'!$D$9</c:f>
              <c:strCache>
                <c:ptCount val="1"/>
                <c:pt idx="0">
                  <c:v>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'胶囊4.5'!$A$10:$A$15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'胶囊4.5'!$D$10:$D$15</c:f>
              <c:numCache>
                <c:formatCode>General</c:formatCode>
                <c:ptCount val="6"/>
                <c:pt idx="0">
                  <c:v>2.4666666666666726E-3</c:v>
                </c:pt>
                <c:pt idx="1">
                  <c:v>3.7599999999999995E-3</c:v>
                </c:pt>
                <c:pt idx="2">
                  <c:v>8.1333333333333327E-3</c:v>
                </c:pt>
                <c:pt idx="3">
                  <c:v>6.7666666666666708E-3</c:v>
                </c:pt>
                <c:pt idx="4">
                  <c:v>8.8333333333333319E-4</c:v>
                </c:pt>
                <c:pt idx="5">
                  <c:v>1.4233333333333341E-2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72-4DB2-B9B9-BB4BA971C608}"/>
            </c:ext>
          </c:extLst>
        </c:ser>
        <c:ser>
          <c:idx val="3"/>
          <c:order val="3"/>
          <c:tx>
            <c:strRef>
              <c:f>'胶囊4.5'!$E$9</c:f>
              <c:strCache>
                <c:ptCount val="1"/>
                <c:pt idx="0">
                  <c:v>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'胶囊4.5'!$A$10:$A$15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'胶囊4.5'!$E$10:$E$15</c:f>
              <c:numCache>
                <c:formatCode>General</c:formatCode>
                <c:ptCount val="6"/>
                <c:pt idx="0">
                  <c:v>2.1666666666666709E-3</c:v>
                </c:pt>
                <c:pt idx="1">
                  <c:v>9.0599999999999986E-3</c:v>
                </c:pt>
                <c:pt idx="2">
                  <c:v>7.0333333333333289E-3</c:v>
                </c:pt>
                <c:pt idx="3">
                  <c:v>7.3666666666666741E-3</c:v>
                </c:pt>
                <c:pt idx="4">
                  <c:v>6.833333333333344E-4</c:v>
                </c:pt>
                <c:pt idx="5">
                  <c:v>2.0633333333333337E-2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72-4DB2-B9B9-BB4BA971C608}"/>
            </c:ext>
          </c:extLst>
        </c:ser>
        <c:ser>
          <c:idx val="4"/>
          <c:order val="4"/>
          <c:tx>
            <c:strRef>
              <c:f>'胶囊4.5'!$F$9</c:f>
              <c:strCache>
                <c:ptCount val="1"/>
                <c:pt idx="0">
                  <c:v>8n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'胶囊4.5'!$A$10:$A$15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'胶囊4.5'!$F$10:$F$15</c:f>
              <c:numCache>
                <c:formatCode>General</c:formatCode>
                <c:ptCount val="6"/>
                <c:pt idx="0">
                  <c:v>2.3666666666666697E-3</c:v>
                </c:pt>
                <c:pt idx="1">
                  <c:v>3.8600000000000023E-3</c:v>
                </c:pt>
                <c:pt idx="2">
                  <c:v>5.4333333333333317E-3</c:v>
                </c:pt>
                <c:pt idx="3">
                  <c:v>5.3666666666666724E-3</c:v>
                </c:pt>
                <c:pt idx="4">
                  <c:v>2.8333333333333682E-4</c:v>
                </c:pt>
                <c:pt idx="5">
                  <c:v>1.4733333333333341E-2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72-4DB2-B9B9-BB4BA971C608}"/>
            </c:ext>
          </c:extLst>
        </c:ser>
        <c:ser>
          <c:idx val="5"/>
          <c:order val="5"/>
          <c:tx>
            <c:strRef>
              <c:f>'胶囊4.5'!$G$9</c:f>
              <c:strCache>
                <c:ptCount val="1"/>
                <c:pt idx="0">
                  <c:v>10n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'胶囊4.5'!$A$10:$A$15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'胶囊4.5'!$G$10:$G$15</c:f>
              <c:numCache>
                <c:formatCode>General</c:formatCode>
                <c:ptCount val="6"/>
                <c:pt idx="0">
                  <c:v>1.4666666666666717E-3</c:v>
                </c:pt>
                <c:pt idx="1">
                  <c:v>6.5599999999999964E-3</c:v>
                </c:pt>
                <c:pt idx="2">
                  <c:v>5.8333333333333293E-3</c:v>
                </c:pt>
                <c:pt idx="3">
                  <c:v>4.1666666666666727E-3</c:v>
                </c:pt>
                <c:pt idx="4">
                  <c:v>9.8333333333333606E-4</c:v>
                </c:pt>
                <c:pt idx="5">
                  <c:v>1.0033333333333339E-2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72-4DB2-B9B9-BB4BA971C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48112"/>
        <c:axId val="104633968"/>
      </c:lineChart>
      <c:catAx>
        <c:axId val="1046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3968"/>
        <c:crosses val="autoZero"/>
        <c:auto val="1"/>
        <c:lblAlgn val="ctr"/>
        <c:lblOffset val="100"/>
        <c:noMultiLvlLbl val="0"/>
      </c:catAx>
      <c:valAx>
        <c:axId val="10463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胶囊6!$B$9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胶囊6!$A$10:$A$15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胶囊6!$B$10:$B$15</c:f>
              <c:numCache>
                <c:formatCode>General</c:formatCode>
                <c:ptCount val="6"/>
                <c:pt idx="0">
                  <c:v>8.9999999999999802E-4</c:v>
                </c:pt>
                <c:pt idx="1">
                  <c:v>1.7333333333333298E-3</c:v>
                </c:pt>
                <c:pt idx="2">
                  <c:v>3.9666666666666739E-3</c:v>
                </c:pt>
                <c:pt idx="3">
                  <c:v>5.583333333333336E-3</c:v>
                </c:pt>
                <c:pt idx="4">
                  <c:v>3.5333333333333397E-3</c:v>
                </c:pt>
                <c:pt idx="5">
                  <c:v>8.016666666666665E-3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E-44E3-A104-8E52562BF642}"/>
            </c:ext>
          </c:extLst>
        </c:ser>
        <c:ser>
          <c:idx val="1"/>
          <c:order val="1"/>
          <c:tx>
            <c:strRef>
              <c:f>胶囊6!$C$9</c:f>
              <c:strCache>
                <c:ptCount val="1"/>
                <c:pt idx="0">
                  <c:v>2n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胶囊6!$A$10:$A$15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胶囊6!$C$10:$C$15</c:f>
              <c:numCache>
                <c:formatCode>General</c:formatCode>
                <c:ptCount val="6"/>
                <c:pt idx="0">
                  <c:v>2.4999999999999953E-3</c:v>
                </c:pt>
                <c:pt idx="1">
                  <c:v>2.3333333333333331E-3</c:v>
                </c:pt>
                <c:pt idx="2">
                  <c:v>8.7666666666666726E-3</c:v>
                </c:pt>
                <c:pt idx="3">
                  <c:v>1.7833333333333312E-3</c:v>
                </c:pt>
                <c:pt idx="4">
                  <c:v>2.7333333333333376E-3</c:v>
                </c:pt>
                <c:pt idx="5">
                  <c:v>1.4516666666666664E-2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E-44E3-A104-8E52562BF642}"/>
            </c:ext>
          </c:extLst>
        </c:ser>
        <c:ser>
          <c:idx val="2"/>
          <c:order val="2"/>
          <c:tx>
            <c:strRef>
              <c:f>胶囊6!$D$9</c:f>
              <c:strCache>
                <c:ptCount val="1"/>
                <c:pt idx="0">
                  <c:v>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胶囊6!$A$10:$A$15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胶囊6!$D$10:$D$15</c:f>
              <c:numCache>
                <c:formatCode>General</c:formatCode>
                <c:ptCount val="6"/>
                <c:pt idx="0">
                  <c:v>1.5999999999999973E-3</c:v>
                </c:pt>
                <c:pt idx="1">
                  <c:v>4.0333333333333332E-3</c:v>
                </c:pt>
                <c:pt idx="2">
                  <c:v>3.4666666666666734E-3</c:v>
                </c:pt>
                <c:pt idx="3">
                  <c:v>1.8333333333333396E-4</c:v>
                </c:pt>
                <c:pt idx="4">
                  <c:v>1.0633333333333342E-2</c:v>
                </c:pt>
                <c:pt idx="5">
                  <c:v>1.6316666666666667E-2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E-44E3-A104-8E52562BF642}"/>
            </c:ext>
          </c:extLst>
        </c:ser>
        <c:ser>
          <c:idx val="3"/>
          <c:order val="3"/>
          <c:tx>
            <c:strRef>
              <c:f>胶囊6!$E$9</c:f>
              <c:strCache>
                <c:ptCount val="1"/>
                <c:pt idx="0">
                  <c:v>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胶囊6!$A$10:$A$15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胶囊6!$E$10:$E$15</c:f>
              <c:numCache>
                <c:formatCode>General</c:formatCode>
                <c:ptCount val="6"/>
                <c:pt idx="0">
                  <c:v>1.8999999999999989E-3</c:v>
                </c:pt>
                <c:pt idx="1">
                  <c:v>3.6333333333333287E-3</c:v>
                </c:pt>
                <c:pt idx="2">
                  <c:v>5.0666666666666707E-3</c:v>
                </c:pt>
                <c:pt idx="3">
                  <c:v>2.4833333333333305E-3</c:v>
                </c:pt>
                <c:pt idx="4">
                  <c:v>1.4533333333333336E-2</c:v>
                </c:pt>
                <c:pt idx="5">
                  <c:v>1.2216666666666667E-2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3E-44E3-A104-8E52562BF642}"/>
            </c:ext>
          </c:extLst>
        </c:ser>
        <c:ser>
          <c:idx val="4"/>
          <c:order val="4"/>
          <c:tx>
            <c:strRef>
              <c:f>胶囊6!$F$9</c:f>
              <c:strCache>
                <c:ptCount val="1"/>
                <c:pt idx="0">
                  <c:v>8n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胶囊6!$A$10:$A$15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胶囊6!$F$10:$F$15</c:f>
              <c:numCache>
                <c:formatCode>General</c:formatCode>
                <c:ptCount val="6"/>
                <c:pt idx="0">
                  <c:v>1.9999999999999948E-3</c:v>
                </c:pt>
                <c:pt idx="1">
                  <c:v>1.6333333333333339E-3</c:v>
                </c:pt>
                <c:pt idx="2">
                  <c:v>2.4666666666666726E-3</c:v>
                </c:pt>
                <c:pt idx="3">
                  <c:v>8.8333333333333319E-4</c:v>
                </c:pt>
                <c:pt idx="4">
                  <c:v>9.9333333333333357E-3</c:v>
                </c:pt>
                <c:pt idx="5">
                  <c:v>1.0516666666666667E-2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3E-44E3-A104-8E52562BF642}"/>
            </c:ext>
          </c:extLst>
        </c:ser>
        <c:ser>
          <c:idx val="5"/>
          <c:order val="5"/>
          <c:tx>
            <c:strRef>
              <c:f>胶囊6!$G$9</c:f>
              <c:strCache>
                <c:ptCount val="1"/>
                <c:pt idx="0">
                  <c:v>10n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胶囊6!$A$10:$A$15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胶囊6!$G$10:$G$15</c:f>
              <c:numCache>
                <c:formatCode>General</c:formatCode>
                <c:ptCount val="6"/>
                <c:pt idx="0">
                  <c:v>0</c:v>
                </c:pt>
                <c:pt idx="1">
                  <c:v>4.4333333333333308E-3</c:v>
                </c:pt>
                <c:pt idx="2">
                  <c:v>2.8666666666666701E-3</c:v>
                </c:pt>
                <c:pt idx="3">
                  <c:v>-1.6666666666664831E-5</c:v>
                </c:pt>
                <c:pt idx="4">
                  <c:v>1.153333333333334E-2</c:v>
                </c:pt>
                <c:pt idx="5">
                  <c:v>1.3516666666666663E-2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3E-44E3-A104-8E52562B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934896"/>
        <c:axId val="247932400"/>
      </c:lineChart>
      <c:catAx>
        <c:axId val="24793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932400"/>
        <c:crosses val="autoZero"/>
        <c:auto val="1"/>
        <c:lblAlgn val="ctr"/>
        <c:lblOffset val="100"/>
        <c:noMultiLvlLbl val="0"/>
      </c:catAx>
      <c:valAx>
        <c:axId val="2479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93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348615</xdr:colOff>
      <xdr:row>12</xdr:row>
      <xdr:rowOff>55245</xdr:rowOff>
    </xdr:from>
    <xdr:to>
      <xdr:col>12</xdr:col>
      <xdr:colOff>127635</xdr:colOff>
      <xdr:row>27</xdr:row>
      <xdr:rowOff>83820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CB966D1-FD27-407D-82C4-FB7E0A3B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384810</xdr:colOff>
      <xdr:row>10</xdr:row>
      <xdr:rowOff>68580</xdr:rowOff>
    </xdr:from>
    <xdr:to>
      <xdr:col>14</xdr:col>
      <xdr:colOff>232410</xdr:colOff>
      <xdr:row>25</xdr:row>
      <xdr:rowOff>97155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E6EE367-0A81-4640-B495-4EA634B3A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281940</xdr:colOff>
      <xdr:row>9</xdr:row>
      <xdr:rowOff>64770</xdr:rowOff>
    </xdr:from>
    <xdr:to>
      <xdr:col>17</xdr:col>
      <xdr:colOff>53340</xdr:colOff>
      <xdr:row>24</xdr:row>
      <xdr:rowOff>93345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53A4D82-87B5-4918-A036-A60C94230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8</xdr:row>
      <xdr:rowOff>95250</xdr:rowOff>
    </xdr:from>
    <xdr:to>
      <xdr:col>18</xdr:col>
      <xdr:colOff>628650</xdr:colOff>
      <xdr:row>23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CB960AA-B7A4-4128-BAD0-D14EDD962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0E42-0FD7-4C46-923A-8A15A03D2C06}">
  <dimension ref="A1:N7"/>
  <sheetViews>
    <sheetView zoomScale="112" zoomScaleNormal="112" workbookViewId="0">
      <selection sqref="A1:H7"/>
    </sheetView>
  </sheetViews>
  <sheetFormatPr defaultRowHeight="13.8" x14ac:dyDescent="0.25"/>
  <cols>
    <col min="1" max="1" width="12" customWidth="1"/>
    <col min="8" max="8" width="11.21875" customWidth="1"/>
  </cols>
  <sheetData>
    <row r="1" spans="1:14" x14ac:dyDescent="0.25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8</v>
      </c>
    </row>
    <row r="2" spans="1:14" x14ac:dyDescent="0.25">
      <c r="A2" s="3">
        <v>20</v>
      </c>
      <c r="B2" s="2">
        <f>0.0518-0.0393</f>
        <v>1.2499999999999997E-2</v>
      </c>
      <c r="C2" s="2">
        <f>0.0407-0.0393</f>
        <v>1.3999999999999985E-3</v>
      </c>
      <c r="D2" s="2">
        <f>0.0656-0.0393</f>
        <v>2.6300000000000004E-2</v>
      </c>
      <c r="E2" s="2">
        <f>0.0663-0.0393</f>
        <v>2.6999999999999996E-2</v>
      </c>
      <c r="F2" s="2">
        <f>0.052-0.0393</f>
        <v>1.2699999999999996E-2</v>
      </c>
      <c r="G2" s="2">
        <f>0.0408-0.0393</f>
        <v>1.5000000000000013E-3</v>
      </c>
      <c r="H2" s="2">
        <v>4.36E-2</v>
      </c>
      <c r="I2">
        <v>3.7600000000000001E-2</v>
      </c>
      <c r="J2">
        <v>3.8199999999999998E-2</v>
      </c>
      <c r="K2">
        <v>4.02E-2</v>
      </c>
      <c r="L2">
        <v>3.8100000000000002E-2</v>
      </c>
      <c r="M2">
        <v>3.7900000000000003E-2</v>
      </c>
      <c r="N2" s="1">
        <v>3.9300000000000002E-2</v>
      </c>
    </row>
    <row r="3" spans="1:14" x14ac:dyDescent="0.25">
      <c r="A3" s="3">
        <v>40</v>
      </c>
      <c r="B3" s="2">
        <v>5.2999999999999999E-2</v>
      </c>
      <c r="C3" s="2">
        <v>3.5999999999999997E-2</v>
      </c>
      <c r="D3" s="2">
        <v>3.3000000000000002E-2</v>
      </c>
      <c r="E3" s="2">
        <v>4.5999999999999999E-2</v>
      </c>
      <c r="F3" s="2">
        <v>3.7999999999999999E-2</v>
      </c>
      <c r="G3" s="2">
        <v>3.7999999999999999E-2</v>
      </c>
      <c r="H3" s="2">
        <v>3.3000000000000002E-2</v>
      </c>
    </row>
    <row r="4" spans="1:14" x14ac:dyDescent="0.25">
      <c r="A4" s="3">
        <v>60</v>
      </c>
      <c r="B4" s="2">
        <v>2.1000000000000001E-2</v>
      </c>
      <c r="C4" s="2">
        <v>4.2000000000000003E-2</v>
      </c>
      <c r="D4" s="2">
        <v>8.3000000000000004E-2</v>
      </c>
      <c r="E4" s="2">
        <v>7.3999999999999996E-2</v>
      </c>
      <c r="F4" s="2">
        <v>8.7999999999999995E-2</v>
      </c>
      <c r="G4" s="2">
        <v>7.9000000000000001E-2</v>
      </c>
      <c r="H4" s="2">
        <v>3.5000000000000003E-2</v>
      </c>
    </row>
    <row r="5" spans="1:14" x14ac:dyDescent="0.25">
      <c r="A5" s="3">
        <v>80</v>
      </c>
      <c r="B5" s="2">
        <v>3.5000000000000003E-2</v>
      </c>
      <c r="C5" s="2">
        <v>4.4999999999999998E-2</v>
      </c>
      <c r="D5" s="2">
        <v>6.2E-2</v>
      </c>
      <c r="E5" s="2">
        <v>6.0999999999999999E-2</v>
      </c>
      <c r="F5" s="2">
        <v>6.9000000000000006E-2</v>
      </c>
      <c r="G5" s="2">
        <v>5.8999999999999997E-2</v>
      </c>
      <c r="H5" s="2">
        <v>3.5999999999999997E-2</v>
      </c>
    </row>
    <row r="6" spans="1:14" x14ac:dyDescent="0.25">
      <c r="A6" s="3">
        <v>100</v>
      </c>
      <c r="B6" s="2">
        <v>4.7E-2</v>
      </c>
      <c r="C6" s="2">
        <v>5.3999999999999999E-2</v>
      </c>
      <c r="D6" s="2">
        <v>6.5000000000000002E-2</v>
      </c>
      <c r="E6" s="2">
        <v>7.5999999999999998E-2</v>
      </c>
      <c r="F6" s="2">
        <v>8.7999999999999995E-2</v>
      </c>
      <c r="G6" s="2">
        <v>7.5999999999999998E-2</v>
      </c>
      <c r="H6" s="2">
        <v>3.5999999999999997E-2</v>
      </c>
    </row>
    <row r="7" spans="1:14" x14ac:dyDescent="0.25">
      <c r="A7" s="3">
        <v>120</v>
      </c>
      <c r="B7" s="2">
        <v>4.2999999999999997E-2</v>
      </c>
      <c r="C7" s="2">
        <v>6.3E-2</v>
      </c>
      <c r="D7" s="2">
        <v>7.0999999999999994E-2</v>
      </c>
      <c r="E7" s="2">
        <v>8.7999999999999995E-2</v>
      </c>
      <c r="F7" s="2">
        <v>8.7999999999999995E-2</v>
      </c>
      <c r="G7" s="2">
        <v>8.1000000000000003E-2</v>
      </c>
      <c r="H7" s="2">
        <v>3.6999999999999998E-2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E2AE-49E4-4EA5-98FA-3B20F447CC7B}">
  <dimension ref="A1:N7"/>
  <sheetViews>
    <sheetView workbookViewId="0">
      <selection sqref="A1:H7"/>
    </sheetView>
  </sheetViews>
  <sheetFormatPr defaultRowHeight="13.8" x14ac:dyDescent="0.25"/>
  <cols>
    <col min="1" max="1" width="11.33203125" customWidth="1"/>
    <col min="8" max="8" width="12.44140625" customWidth="1"/>
  </cols>
  <sheetData>
    <row r="1" spans="1:14" x14ac:dyDescent="0.25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8</v>
      </c>
    </row>
    <row r="2" spans="1:14" x14ac:dyDescent="0.25">
      <c r="A2" s="3">
        <v>20</v>
      </c>
      <c r="B2" s="2">
        <f>0.0381-N2</f>
        <v>-1.1999999999999997E-3</v>
      </c>
      <c r="C2" s="2">
        <f>0.039-N2</f>
        <v>-3.0000000000000165E-4</v>
      </c>
      <c r="D2" s="2">
        <f>0.0418-N2</f>
        <v>2.4999999999999953E-3</v>
      </c>
      <c r="E2" s="2">
        <f>0.0663-N2</f>
        <v>2.6999999999999996E-2</v>
      </c>
      <c r="F2" s="2">
        <f>0.052-N2</f>
        <v>1.2699999999999996E-2</v>
      </c>
      <c r="G2" s="2">
        <f>0.0408-N2</f>
        <v>1.5000000000000013E-3</v>
      </c>
      <c r="H2" s="2">
        <v>3.7600000000000001E-2</v>
      </c>
      <c r="I2">
        <v>3.7600000000000001E-2</v>
      </c>
      <c r="J2">
        <v>3.8199999999999998E-2</v>
      </c>
      <c r="K2">
        <v>4.02E-2</v>
      </c>
      <c r="L2">
        <v>3.8100000000000002E-2</v>
      </c>
      <c r="M2">
        <v>3.7900000000000003E-2</v>
      </c>
      <c r="N2" s="1">
        <v>3.9300000000000002E-2</v>
      </c>
    </row>
    <row r="3" spans="1:14" x14ac:dyDescent="0.25">
      <c r="A3" s="3">
        <v>40</v>
      </c>
      <c r="B3" s="2">
        <v>7.0000000000000001E-3</v>
      </c>
      <c r="C3" s="2">
        <v>1.7000000000000001E-2</v>
      </c>
      <c r="D3" s="2">
        <v>1.7000000000000001E-2</v>
      </c>
      <c r="E3" s="2">
        <v>2.5999999999999999E-2</v>
      </c>
      <c r="F3" s="2">
        <v>1.4E-2</v>
      </c>
      <c r="G3" s="2">
        <v>2.4E-2</v>
      </c>
      <c r="H3" s="2">
        <v>3.8199999999999998E-2</v>
      </c>
    </row>
    <row r="4" spans="1:14" x14ac:dyDescent="0.25">
      <c r="A4" s="3">
        <v>60</v>
      </c>
      <c r="B4" s="2">
        <v>7.4999999999999997E-2</v>
      </c>
      <c r="C4" s="2">
        <v>0.03</v>
      </c>
      <c r="D4" s="2">
        <v>4.7E-2</v>
      </c>
      <c r="E4" s="2">
        <v>6.5000000000000002E-2</v>
      </c>
      <c r="F4" s="2">
        <v>0.06</v>
      </c>
      <c r="G4" s="2">
        <v>5.2999999999999999E-2</v>
      </c>
      <c r="H4" s="2">
        <v>4.02E-2</v>
      </c>
    </row>
    <row r="5" spans="1:14" x14ac:dyDescent="0.25">
      <c r="A5" s="3">
        <v>80</v>
      </c>
      <c r="B5" s="2">
        <v>3.1E-2</v>
      </c>
      <c r="C5" s="2">
        <v>5.8999999999999997E-2</v>
      </c>
      <c r="D5" s="2">
        <v>6.4000000000000001E-2</v>
      </c>
      <c r="E5" s="2">
        <v>7.0000000000000007E-2</v>
      </c>
      <c r="F5" s="2">
        <v>8.2000000000000003E-2</v>
      </c>
      <c r="G5" s="2">
        <v>6.3E-2</v>
      </c>
      <c r="H5" s="2">
        <v>3.8100000000000002E-2</v>
      </c>
    </row>
    <row r="6" spans="1:14" x14ac:dyDescent="0.25">
      <c r="A6" s="3">
        <v>100</v>
      </c>
      <c r="B6" s="2">
        <v>3.4000000000000002E-2</v>
      </c>
      <c r="C6" s="2">
        <v>5.0999999999999997E-2</v>
      </c>
      <c r="D6" s="2">
        <v>8.7999999999999995E-2</v>
      </c>
      <c r="E6" s="2">
        <v>8.3000000000000004E-2</v>
      </c>
      <c r="F6" s="2">
        <v>0.10299999999999999</v>
      </c>
      <c r="G6" s="2">
        <v>8.2000000000000003E-2</v>
      </c>
      <c r="H6" s="2">
        <v>3.7900000000000003E-2</v>
      </c>
    </row>
    <row r="7" spans="1:14" x14ac:dyDescent="0.25">
      <c r="A7" s="3">
        <v>120</v>
      </c>
      <c r="B7" s="2">
        <v>3.5999999999999997E-2</v>
      </c>
      <c r="C7" s="2">
        <v>5.8000000000000003E-2</v>
      </c>
      <c r="D7" s="2">
        <v>7.9000000000000001E-2</v>
      </c>
      <c r="E7" s="2">
        <v>9.5000000000000001E-2</v>
      </c>
      <c r="F7" s="2">
        <v>9.6000000000000002E-2</v>
      </c>
      <c r="G7" s="2">
        <v>8.5000000000000006E-2</v>
      </c>
      <c r="H7" s="2">
        <v>3.9300000000000002E-2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8ADA-2016-44AC-ADBE-53B2B0F0D91B}">
  <dimension ref="A1:N15"/>
  <sheetViews>
    <sheetView workbookViewId="0">
      <selection sqref="A1:H7"/>
    </sheetView>
  </sheetViews>
  <sheetFormatPr defaultRowHeight="13.8" x14ac:dyDescent="0.25"/>
  <cols>
    <col min="1" max="1" width="11.21875" customWidth="1"/>
    <col min="8" max="8" width="10.5546875" customWidth="1"/>
  </cols>
  <sheetData>
    <row r="1" spans="1:14" x14ac:dyDescent="0.25">
      <c r="A1" s="3" t="s">
        <v>9</v>
      </c>
      <c r="B1" s="3" t="s">
        <v>0</v>
      </c>
      <c r="C1" s="3" t="s">
        <v>1</v>
      </c>
      <c r="D1" s="3" t="s">
        <v>6</v>
      </c>
      <c r="E1" s="3" t="s">
        <v>2</v>
      </c>
      <c r="F1" s="3" t="s">
        <v>7</v>
      </c>
      <c r="G1" s="3" t="s">
        <v>3</v>
      </c>
      <c r="H1" s="3" t="s">
        <v>8</v>
      </c>
    </row>
    <row r="2" spans="1:14" x14ac:dyDescent="0.25">
      <c r="A2" s="3">
        <v>20</v>
      </c>
      <c r="B2" s="2">
        <v>3.9600000000000003E-2</v>
      </c>
      <c r="C2" s="2">
        <v>3.8800000000000001E-2</v>
      </c>
      <c r="D2" s="2">
        <v>4.0500000000000001E-2</v>
      </c>
      <c r="E2" s="2">
        <v>4.02E-2</v>
      </c>
      <c r="F2" s="2">
        <v>4.0399999999999998E-2</v>
      </c>
      <c r="G2" s="2">
        <v>3.95E-2</v>
      </c>
      <c r="H2" s="2">
        <f>AVERAGE(I2:N2)</f>
        <v>3.8033333333333329E-2</v>
      </c>
      <c r="I2">
        <v>3.7699999999999997E-2</v>
      </c>
      <c r="J2">
        <v>3.7900000000000003E-2</v>
      </c>
      <c r="K2">
        <v>3.7699999999999997E-2</v>
      </c>
      <c r="L2">
        <v>3.8199999999999998E-2</v>
      </c>
      <c r="M2">
        <v>3.8300000000000001E-2</v>
      </c>
      <c r="N2">
        <v>3.8399999999999997E-2</v>
      </c>
    </row>
    <row r="3" spans="1:14" x14ac:dyDescent="0.25">
      <c r="A3" s="3">
        <v>40</v>
      </c>
      <c r="B3" s="2">
        <v>4.0300000000000002E-2</v>
      </c>
      <c r="C3" s="2">
        <v>4.2700000000000002E-2</v>
      </c>
      <c r="D3" s="2">
        <v>4.24E-2</v>
      </c>
      <c r="E3" s="2">
        <v>4.7699999999999999E-2</v>
      </c>
      <c r="F3" s="2">
        <v>4.2500000000000003E-2</v>
      </c>
      <c r="G3" s="2">
        <v>4.5199999999999997E-2</v>
      </c>
      <c r="H3" s="2">
        <f>AVERAGE(I3:M3)</f>
        <v>3.8640000000000001E-2</v>
      </c>
      <c r="I3">
        <v>3.8699999999999998E-2</v>
      </c>
      <c r="J3">
        <v>3.8300000000000001E-2</v>
      </c>
      <c r="K3">
        <v>3.7999999999999999E-2</v>
      </c>
      <c r="L3">
        <v>3.8199999999999998E-2</v>
      </c>
      <c r="M3">
        <v>0.04</v>
      </c>
      <c r="N3">
        <v>3.8399999999999997E-2</v>
      </c>
    </row>
    <row r="4" spans="1:14" x14ac:dyDescent="0.25">
      <c r="A4" s="3">
        <v>60</v>
      </c>
      <c r="B4" s="2">
        <v>4.3400000000000001E-2</v>
      </c>
      <c r="C4" s="2">
        <v>4.2099999999999999E-2</v>
      </c>
      <c r="D4" s="2">
        <v>4.7300000000000002E-2</v>
      </c>
      <c r="E4" s="2">
        <v>4.6199999999999998E-2</v>
      </c>
      <c r="F4" s="2">
        <v>4.4600000000000001E-2</v>
      </c>
      <c r="G4" s="2">
        <v>4.4999999999999998E-2</v>
      </c>
      <c r="H4" s="2">
        <f t="shared" ref="H4:H7" si="0">AVERAGE(I4:N4)</f>
        <v>3.9166666666666669E-2</v>
      </c>
      <c r="I4">
        <v>3.8800000000000001E-2</v>
      </c>
      <c r="J4">
        <v>3.85E-2</v>
      </c>
      <c r="K4">
        <v>3.8199999999999998E-2</v>
      </c>
      <c r="L4">
        <v>3.8600000000000002E-2</v>
      </c>
      <c r="M4">
        <v>4.2099999999999999E-2</v>
      </c>
      <c r="N4">
        <v>3.8800000000000001E-2</v>
      </c>
    </row>
    <row r="5" spans="1:14" x14ac:dyDescent="0.25">
      <c r="A5" s="3">
        <v>80</v>
      </c>
      <c r="B5" s="2">
        <v>4.5199999999999997E-2</v>
      </c>
      <c r="C5" s="2">
        <v>4.5600000000000002E-2</v>
      </c>
      <c r="D5" s="2">
        <v>4.7699999999999999E-2</v>
      </c>
      <c r="E5" s="2">
        <v>4.8300000000000003E-2</v>
      </c>
      <c r="F5" s="2">
        <v>4.6300000000000001E-2</v>
      </c>
      <c r="G5" s="2">
        <v>4.5100000000000001E-2</v>
      </c>
      <c r="H5" s="2">
        <f t="shared" si="0"/>
        <v>4.0933333333333329E-2</v>
      </c>
      <c r="I5">
        <v>4.2500000000000003E-2</v>
      </c>
      <c r="J5">
        <v>4.5499999999999999E-2</v>
      </c>
      <c r="K5">
        <v>3.8199999999999998E-2</v>
      </c>
      <c r="L5">
        <v>3.8899999999999997E-2</v>
      </c>
      <c r="M5">
        <v>4.19E-2</v>
      </c>
      <c r="N5">
        <v>3.8600000000000002E-2</v>
      </c>
    </row>
    <row r="6" spans="1:14" x14ac:dyDescent="0.25">
      <c r="A6" s="3">
        <v>100</v>
      </c>
      <c r="B6" s="2">
        <v>4.5999999999999999E-2</v>
      </c>
      <c r="C6" s="2">
        <v>4.6399999999999997E-2</v>
      </c>
      <c r="D6" s="2">
        <v>4.65E-2</v>
      </c>
      <c r="E6" s="2">
        <v>4.6300000000000001E-2</v>
      </c>
      <c r="F6" s="2">
        <v>4.5900000000000003E-2</v>
      </c>
      <c r="G6" s="2">
        <v>4.6600000000000003E-2</v>
      </c>
      <c r="H6" s="2">
        <f t="shared" si="0"/>
        <v>4.5616666666666666E-2</v>
      </c>
      <c r="I6">
        <v>4.5999999999999999E-2</v>
      </c>
      <c r="J6">
        <v>4.5600000000000002E-2</v>
      </c>
      <c r="K6">
        <v>4.58E-2</v>
      </c>
      <c r="L6">
        <v>4.5400000000000003E-2</v>
      </c>
      <c r="M6">
        <v>4.5600000000000002E-2</v>
      </c>
      <c r="N6">
        <v>4.53E-2</v>
      </c>
    </row>
    <row r="7" spans="1:14" x14ac:dyDescent="0.25">
      <c r="A7" s="3">
        <v>120</v>
      </c>
      <c r="B7" s="2">
        <v>4.6899999999999997E-2</v>
      </c>
      <c r="C7" s="2">
        <v>5.3999999999999999E-2</v>
      </c>
      <c r="D7" s="2">
        <v>5.5800000000000002E-2</v>
      </c>
      <c r="E7" s="2">
        <v>6.2199999999999998E-2</v>
      </c>
      <c r="F7" s="2">
        <v>5.6300000000000003E-2</v>
      </c>
      <c r="G7" s="2">
        <v>5.16E-2</v>
      </c>
      <c r="H7" s="2">
        <f t="shared" si="0"/>
        <v>4.1566666666666661E-2</v>
      </c>
      <c r="I7">
        <v>4.2700000000000002E-2</v>
      </c>
      <c r="J7">
        <v>4.58E-2</v>
      </c>
      <c r="K7">
        <v>3.9399999999999998E-2</v>
      </c>
      <c r="L7">
        <v>3.95E-2</v>
      </c>
      <c r="M7">
        <v>4.2999999999999997E-2</v>
      </c>
      <c r="N7">
        <v>3.9E-2</v>
      </c>
    </row>
    <row r="9" spans="1:14" x14ac:dyDescent="0.25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14" x14ac:dyDescent="0.25">
      <c r="A10">
        <v>20</v>
      </c>
      <c r="B10">
        <f>B2-H2</f>
        <v>1.5666666666666745E-3</v>
      </c>
      <c r="C10">
        <f>C2-H2</f>
        <v>7.6666666666667244E-4</v>
      </c>
      <c r="D10">
        <f>D2-H2</f>
        <v>2.4666666666666726E-3</v>
      </c>
      <c r="E10">
        <f>E2-H2</f>
        <v>2.1666666666666709E-3</v>
      </c>
      <c r="F10">
        <f>F2-H2</f>
        <v>2.3666666666666697E-3</v>
      </c>
      <c r="G10">
        <f>G2-H2</f>
        <v>1.4666666666666717E-3</v>
      </c>
    </row>
    <row r="11" spans="1:14" x14ac:dyDescent="0.25">
      <c r="A11">
        <v>40</v>
      </c>
      <c r="B11">
        <f t="shared" ref="B11:B15" si="1">B3-H3</f>
        <v>1.6600000000000018E-3</v>
      </c>
      <c r="C11">
        <f t="shared" ref="C11:C15" si="2">C3-H3</f>
        <v>4.0600000000000011E-3</v>
      </c>
      <c r="D11">
        <f t="shared" ref="D11:D15" si="3">D3-H3</f>
        <v>3.7599999999999995E-3</v>
      </c>
      <c r="E11">
        <f t="shared" ref="E11:E15" si="4">E3-H3</f>
        <v>9.0599999999999986E-3</v>
      </c>
      <c r="F11">
        <f t="shared" ref="F11:F15" si="5">F3-H3</f>
        <v>3.8600000000000023E-3</v>
      </c>
      <c r="G11">
        <f t="shared" ref="G11:G15" si="6">G3-H3</f>
        <v>6.5599999999999964E-3</v>
      </c>
    </row>
    <row r="12" spans="1:14" x14ac:dyDescent="0.25">
      <c r="A12">
        <v>60</v>
      </c>
      <c r="B12">
        <f t="shared" si="1"/>
        <v>4.233333333333332E-3</v>
      </c>
      <c r="C12">
        <f t="shared" si="2"/>
        <v>2.9333333333333295E-3</v>
      </c>
      <c r="D12">
        <f t="shared" si="3"/>
        <v>8.1333333333333327E-3</v>
      </c>
      <c r="E12">
        <f t="shared" si="4"/>
        <v>7.0333333333333289E-3</v>
      </c>
      <c r="F12">
        <f t="shared" si="5"/>
        <v>5.4333333333333317E-3</v>
      </c>
      <c r="G12">
        <f t="shared" si="6"/>
        <v>5.8333333333333293E-3</v>
      </c>
    </row>
    <row r="13" spans="1:14" x14ac:dyDescent="0.25">
      <c r="A13">
        <v>80</v>
      </c>
      <c r="B13">
        <f t="shared" si="1"/>
        <v>4.2666666666666686E-3</v>
      </c>
      <c r="C13">
        <f t="shared" si="2"/>
        <v>4.6666666666666731E-3</v>
      </c>
      <c r="D13">
        <f t="shared" si="3"/>
        <v>6.7666666666666708E-3</v>
      </c>
      <c r="E13">
        <f t="shared" si="4"/>
        <v>7.3666666666666741E-3</v>
      </c>
      <c r="F13">
        <f t="shared" si="5"/>
        <v>5.3666666666666724E-3</v>
      </c>
      <c r="G13">
        <f t="shared" si="6"/>
        <v>4.1666666666666727E-3</v>
      </c>
    </row>
    <row r="14" spans="1:14" x14ac:dyDescent="0.25">
      <c r="A14">
        <v>100</v>
      </c>
      <c r="B14">
        <f t="shared" si="1"/>
        <v>3.8333333333333275E-4</v>
      </c>
      <c r="C14">
        <f t="shared" si="2"/>
        <v>7.8333333333333033E-4</v>
      </c>
      <c r="D14">
        <f t="shared" si="3"/>
        <v>8.8333333333333319E-4</v>
      </c>
      <c r="E14">
        <f t="shared" si="4"/>
        <v>6.833333333333344E-4</v>
      </c>
      <c r="F14">
        <f t="shared" si="5"/>
        <v>2.8333333333333682E-4</v>
      </c>
      <c r="G14">
        <f t="shared" si="6"/>
        <v>9.8333333333333606E-4</v>
      </c>
    </row>
    <row r="15" spans="1:14" x14ac:dyDescent="0.25">
      <c r="A15">
        <v>120</v>
      </c>
      <c r="B15">
        <f t="shared" si="1"/>
        <v>5.3333333333333358E-3</v>
      </c>
      <c r="C15">
        <f t="shared" si="2"/>
        <v>1.2433333333333338E-2</v>
      </c>
      <c r="D15">
        <f t="shared" si="3"/>
        <v>1.4233333333333341E-2</v>
      </c>
      <c r="E15">
        <f t="shared" si="4"/>
        <v>2.0633333333333337E-2</v>
      </c>
      <c r="F15">
        <f t="shared" si="5"/>
        <v>1.4733333333333341E-2</v>
      </c>
      <c r="G15">
        <f t="shared" si="6"/>
        <v>1.0033333333333339E-2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B735-6B14-4587-B5BB-0D70962DAA26}">
  <dimension ref="A1:N15"/>
  <sheetViews>
    <sheetView workbookViewId="0">
      <selection sqref="A1:H7"/>
    </sheetView>
  </sheetViews>
  <sheetFormatPr defaultRowHeight="13.8" x14ac:dyDescent="0.25"/>
  <cols>
    <col min="1" max="1" width="12" customWidth="1"/>
    <col min="8" max="8" width="11.21875" customWidth="1"/>
  </cols>
  <sheetData>
    <row r="1" spans="1:14" x14ac:dyDescent="0.25">
      <c r="A1" s="3" t="s">
        <v>9</v>
      </c>
      <c r="B1" s="3" t="s">
        <v>0</v>
      </c>
      <c r="C1" s="3" t="s">
        <v>1</v>
      </c>
      <c r="D1" s="3" t="s">
        <v>6</v>
      </c>
      <c r="E1" s="3" t="s">
        <v>2</v>
      </c>
      <c r="F1" s="3" t="s">
        <v>7</v>
      </c>
      <c r="G1" s="3" t="s">
        <v>3</v>
      </c>
      <c r="H1" s="3" t="s">
        <v>8</v>
      </c>
    </row>
    <row r="2" spans="1:14" x14ac:dyDescent="0.25">
      <c r="A2" s="3">
        <v>20</v>
      </c>
      <c r="B2" s="2">
        <v>3.95E-2</v>
      </c>
      <c r="C2" s="2">
        <v>4.1099999999999998E-2</v>
      </c>
      <c r="D2" s="2">
        <v>4.02E-2</v>
      </c>
      <c r="E2" s="2">
        <v>4.0500000000000001E-2</v>
      </c>
      <c r="F2" s="2">
        <v>4.0599999999999997E-2</v>
      </c>
      <c r="G2" s="2">
        <v>3.8600000000000002E-2</v>
      </c>
      <c r="H2" s="2">
        <f>AVERAGE(I2:N2)</f>
        <v>3.8600000000000002E-2</v>
      </c>
      <c r="I2">
        <v>3.8699999999999998E-2</v>
      </c>
      <c r="J2">
        <v>3.8300000000000001E-2</v>
      </c>
      <c r="K2">
        <v>3.7999999999999999E-2</v>
      </c>
      <c r="L2">
        <v>3.8199999999999998E-2</v>
      </c>
      <c r="M2">
        <v>0.04</v>
      </c>
      <c r="N2">
        <v>3.8399999999999997E-2</v>
      </c>
    </row>
    <row r="3" spans="1:14" x14ac:dyDescent="0.25">
      <c r="A3" s="3">
        <v>40</v>
      </c>
      <c r="B3" s="2">
        <v>4.0899999999999999E-2</v>
      </c>
      <c r="C3" s="2">
        <v>4.1500000000000002E-2</v>
      </c>
      <c r="D3" s="2">
        <v>4.3200000000000002E-2</v>
      </c>
      <c r="E3" s="2">
        <v>4.2799999999999998E-2</v>
      </c>
      <c r="F3" s="2">
        <v>4.0800000000000003E-2</v>
      </c>
      <c r="G3" s="2">
        <v>4.36E-2</v>
      </c>
      <c r="H3" s="2">
        <f t="shared" ref="H3:H7" si="0">AVERAGE(I3:N3)</f>
        <v>3.9166666666666669E-2</v>
      </c>
      <c r="I3">
        <v>3.8800000000000001E-2</v>
      </c>
      <c r="J3">
        <v>3.85E-2</v>
      </c>
      <c r="K3">
        <v>3.8199999999999998E-2</v>
      </c>
      <c r="L3">
        <v>3.8600000000000002E-2</v>
      </c>
      <c r="M3">
        <v>4.2099999999999999E-2</v>
      </c>
      <c r="N3">
        <v>3.8800000000000001E-2</v>
      </c>
    </row>
    <row r="4" spans="1:14" x14ac:dyDescent="0.25">
      <c r="A4" s="3">
        <v>60</v>
      </c>
      <c r="B4" s="2">
        <v>4.4900000000000002E-2</v>
      </c>
      <c r="C4" s="2">
        <v>4.9700000000000001E-2</v>
      </c>
      <c r="D4" s="2">
        <v>4.4400000000000002E-2</v>
      </c>
      <c r="E4" s="2">
        <v>4.5999999999999999E-2</v>
      </c>
      <c r="F4" s="2">
        <v>4.3400000000000001E-2</v>
      </c>
      <c r="G4" s="2">
        <v>4.3799999999999999E-2</v>
      </c>
      <c r="H4" s="2">
        <f t="shared" si="0"/>
        <v>4.0933333333333329E-2</v>
      </c>
      <c r="I4">
        <v>4.2500000000000003E-2</v>
      </c>
      <c r="J4">
        <v>4.5499999999999999E-2</v>
      </c>
      <c r="K4">
        <v>3.8199999999999998E-2</v>
      </c>
      <c r="L4">
        <v>3.8899999999999997E-2</v>
      </c>
      <c r="M4">
        <v>4.19E-2</v>
      </c>
      <c r="N4">
        <v>3.8600000000000002E-2</v>
      </c>
    </row>
    <row r="5" spans="1:14" x14ac:dyDescent="0.25">
      <c r="A5" s="3">
        <v>80</v>
      </c>
      <c r="B5" s="2">
        <v>5.1200000000000002E-2</v>
      </c>
      <c r="C5" s="2">
        <v>4.7399999999999998E-2</v>
      </c>
      <c r="D5" s="2">
        <v>4.58E-2</v>
      </c>
      <c r="E5" s="2">
        <v>4.8099999999999997E-2</v>
      </c>
      <c r="F5" s="2">
        <v>4.65E-2</v>
      </c>
      <c r="G5" s="2">
        <v>4.5600000000000002E-2</v>
      </c>
      <c r="H5" s="2">
        <f t="shared" si="0"/>
        <v>4.5616666666666666E-2</v>
      </c>
      <c r="I5">
        <v>4.5999999999999999E-2</v>
      </c>
      <c r="J5">
        <v>4.5600000000000002E-2</v>
      </c>
      <c r="K5">
        <v>4.58E-2</v>
      </c>
      <c r="L5">
        <v>4.5400000000000003E-2</v>
      </c>
      <c r="M5">
        <v>4.5600000000000002E-2</v>
      </c>
      <c r="N5">
        <v>4.53E-2</v>
      </c>
    </row>
    <row r="6" spans="1:14" x14ac:dyDescent="0.25">
      <c r="A6" s="3">
        <v>100</v>
      </c>
      <c r="B6" s="2">
        <v>4.5100000000000001E-2</v>
      </c>
      <c r="C6" s="2">
        <v>4.4299999999999999E-2</v>
      </c>
      <c r="D6" s="2">
        <v>5.2200000000000003E-2</v>
      </c>
      <c r="E6" s="2">
        <v>5.6099999999999997E-2</v>
      </c>
      <c r="F6" s="2">
        <v>5.1499999999999997E-2</v>
      </c>
      <c r="G6" s="2">
        <v>5.3100000000000001E-2</v>
      </c>
      <c r="H6" s="2">
        <f t="shared" si="0"/>
        <v>4.1566666666666661E-2</v>
      </c>
      <c r="I6">
        <v>4.2700000000000002E-2</v>
      </c>
      <c r="J6">
        <v>4.58E-2</v>
      </c>
      <c r="K6">
        <v>3.9399999999999998E-2</v>
      </c>
      <c r="L6">
        <v>3.95E-2</v>
      </c>
      <c r="M6">
        <v>4.2999999999999997E-2</v>
      </c>
      <c r="N6">
        <v>3.9E-2</v>
      </c>
    </row>
    <row r="7" spans="1:14" x14ac:dyDescent="0.25">
      <c r="A7" s="3">
        <v>120</v>
      </c>
      <c r="B7" s="2">
        <v>4.9399999999999999E-2</v>
      </c>
      <c r="C7" s="2">
        <v>5.5899999999999998E-2</v>
      </c>
      <c r="D7" s="2">
        <v>5.7700000000000001E-2</v>
      </c>
      <c r="E7" s="2">
        <v>5.3600000000000002E-2</v>
      </c>
      <c r="F7" s="2">
        <v>5.1900000000000002E-2</v>
      </c>
      <c r="G7" s="2">
        <v>5.4899999999999997E-2</v>
      </c>
      <c r="H7" s="2">
        <f t="shared" si="0"/>
        <v>4.1383333333333334E-2</v>
      </c>
      <c r="I7">
        <v>4.2700000000000002E-2</v>
      </c>
      <c r="J7">
        <v>4.5600000000000002E-2</v>
      </c>
      <c r="K7">
        <v>3.95E-2</v>
      </c>
      <c r="L7">
        <v>3.8199999999999998E-2</v>
      </c>
      <c r="M7">
        <v>4.2200000000000001E-2</v>
      </c>
      <c r="N7">
        <v>4.0099999999999997E-2</v>
      </c>
    </row>
    <row r="9" spans="1:14" x14ac:dyDescent="0.25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14" x14ac:dyDescent="0.25">
      <c r="A10">
        <v>20</v>
      </c>
      <c r="B10">
        <f>B2-H2</f>
        <v>8.9999999999999802E-4</v>
      </c>
      <c r="C10">
        <f>C2-H2</f>
        <v>2.4999999999999953E-3</v>
      </c>
      <c r="D10">
        <f>D2-H2</f>
        <v>1.5999999999999973E-3</v>
      </c>
      <c r="E10">
        <f>E2-H2</f>
        <v>1.8999999999999989E-3</v>
      </c>
      <c r="F10">
        <f>F2-H2</f>
        <v>1.9999999999999948E-3</v>
      </c>
      <c r="G10">
        <f>G2-H2</f>
        <v>0</v>
      </c>
    </row>
    <row r="11" spans="1:14" x14ac:dyDescent="0.25">
      <c r="A11">
        <v>40</v>
      </c>
      <c r="B11">
        <f t="shared" ref="B11:B15" si="1">B3-H3</f>
        <v>1.7333333333333298E-3</v>
      </c>
      <c r="C11">
        <f t="shared" ref="C11:C15" si="2">C3-H3</f>
        <v>2.3333333333333331E-3</v>
      </c>
      <c r="D11">
        <f t="shared" ref="D11:D15" si="3">D3-H3</f>
        <v>4.0333333333333332E-3</v>
      </c>
      <c r="E11">
        <f t="shared" ref="E11:E15" si="4">E3-H3</f>
        <v>3.6333333333333287E-3</v>
      </c>
      <c r="F11">
        <f t="shared" ref="F11:F15" si="5">F3-H3</f>
        <v>1.6333333333333339E-3</v>
      </c>
      <c r="G11">
        <f t="shared" ref="G11:G15" si="6">G3-H3</f>
        <v>4.4333333333333308E-3</v>
      </c>
    </row>
    <row r="12" spans="1:14" x14ac:dyDescent="0.25">
      <c r="A12">
        <v>60</v>
      </c>
      <c r="B12">
        <f t="shared" si="1"/>
        <v>3.9666666666666739E-3</v>
      </c>
      <c r="C12">
        <f t="shared" si="2"/>
        <v>8.7666666666666726E-3</v>
      </c>
      <c r="D12">
        <f t="shared" si="3"/>
        <v>3.4666666666666734E-3</v>
      </c>
      <c r="E12">
        <f t="shared" si="4"/>
        <v>5.0666666666666707E-3</v>
      </c>
      <c r="F12">
        <f t="shared" si="5"/>
        <v>2.4666666666666726E-3</v>
      </c>
      <c r="G12">
        <f t="shared" si="6"/>
        <v>2.8666666666666701E-3</v>
      </c>
    </row>
    <row r="13" spans="1:14" x14ac:dyDescent="0.25">
      <c r="A13">
        <v>80</v>
      </c>
      <c r="B13">
        <f t="shared" si="1"/>
        <v>5.583333333333336E-3</v>
      </c>
      <c r="C13">
        <f t="shared" si="2"/>
        <v>1.7833333333333312E-3</v>
      </c>
      <c r="D13">
        <f t="shared" si="3"/>
        <v>1.8333333333333396E-4</v>
      </c>
      <c r="E13">
        <f t="shared" si="4"/>
        <v>2.4833333333333305E-3</v>
      </c>
      <c r="F13">
        <f t="shared" si="5"/>
        <v>8.8333333333333319E-4</v>
      </c>
      <c r="G13">
        <f t="shared" si="6"/>
        <v>-1.6666666666664831E-5</v>
      </c>
    </row>
    <row r="14" spans="1:14" x14ac:dyDescent="0.25">
      <c r="A14">
        <v>100</v>
      </c>
      <c r="B14">
        <f t="shared" si="1"/>
        <v>3.5333333333333397E-3</v>
      </c>
      <c r="C14">
        <f t="shared" si="2"/>
        <v>2.7333333333333376E-3</v>
      </c>
      <c r="D14">
        <f t="shared" si="3"/>
        <v>1.0633333333333342E-2</v>
      </c>
      <c r="E14">
        <f t="shared" si="4"/>
        <v>1.4533333333333336E-2</v>
      </c>
      <c r="F14">
        <f t="shared" si="5"/>
        <v>9.9333333333333357E-3</v>
      </c>
      <c r="G14">
        <f t="shared" si="6"/>
        <v>1.153333333333334E-2</v>
      </c>
    </row>
    <row r="15" spans="1:14" x14ac:dyDescent="0.25">
      <c r="A15">
        <v>120</v>
      </c>
      <c r="B15">
        <f t="shared" si="1"/>
        <v>8.016666666666665E-3</v>
      </c>
      <c r="C15">
        <f t="shared" si="2"/>
        <v>1.4516666666666664E-2</v>
      </c>
      <c r="D15">
        <f t="shared" si="3"/>
        <v>1.6316666666666667E-2</v>
      </c>
      <c r="E15">
        <f t="shared" si="4"/>
        <v>1.2216666666666667E-2</v>
      </c>
      <c r="F15">
        <f t="shared" si="5"/>
        <v>1.0516666666666667E-2</v>
      </c>
      <c r="G15">
        <f t="shared" si="6"/>
        <v>1.3516666666666663E-2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4EC9-1507-4BAC-A6BF-1DE6CB4F3B51}">
  <dimension ref="A1:M17"/>
  <sheetViews>
    <sheetView tabSelected="1" workbookViewId="0">
      <selection activeCell="K6" activeCellId="1" sqref="G6:I10 K6:M10"/>
    </sheetView>
  </sheetViews>
  <sheetFormatPr defaultRowHeight="13.8" x14ac:dyDescent="0.25"/>
  <cols>
    <col min="1" max="1" width="11" style="4" customWidth="1"/>
    <col min="2" max="2" width="14.88671875" customWidth="1"/>
    <col min="3" max="3" width="2" customWidth="1"/>
    <col min="4" max="4" width="11" style="4" customWidth="1"/>
    <col min="5" max="5" width="15" customWidth="1"/>
    <col min="7" max="7" width="12.6640625" customWidth="1"/>
    <col min="8" max="8" width="16" customWidth="1"/>
    <col min="9" max="9" width="20.77734375" customWidth="1"/>
    <col min="10" max="10" width="2.77734375" customWidth="1"/>
    <col min="11" max="11" width="12.6640625" customWidth="1"/>
    <col min="12" max="12" width="16" customWidth="1"/>
    <col min="13" max="13" width="20.77734375" customWidth="1"/>
  </cols>
  <sheetData>
    <row r="1" spans="1:13" x14ac:dyDescent="0.25">
      <c r="A1" s="4" t="s">
        <v>10</v>
      </c>
      <c r="B1">
        <v>1</v>
      </c>
      <c r="C1">
        <v>2</v>
      </c>
      <c r="D1" s="4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3" x14ac:dyDescent="0.25">
      <c r="A2" s="4" t="s">
        <v>11</v>
      </c>
      <c r="B2">
        <v>1854</v>
      </c>
      <c r="C2">
        <v>1893</v>
      </c>
      <c r="D2" s="4">
        <v>1871</v>
      </c>
      <c r="E2">
        <v>1860</v>
      </c>
      <c r="F2">
        <v>1879</v>
      </c>
      <c r="G2">
        <v>1888</v>
      </c>
      <c r="H2">
        <v>1846</v>
      </c>
      <c r="I2">
        <v>1866</v>
      </c>
      <c r="J2">
        <v>1907</v>
      </c>
      <c r="K2">
        <v>1809</v>
      </c>
    </row>
    <row r="4" spans="1:13" x14ac:dyDescent="0.25">
      <c r="A4" s="4" t="s">
        <v>10</v>
      </c>
      <c r="B4">
        <v>1</v>
      </c>
      <c r="C4">
        <v>2</v>
      </c>
      <c r="D4" s="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</row>
    <row r="5" spans="1:13" x14ac:dyDescent="0.25">
      <c r="A5" s="4" t="s">
        <v>11</v>
      </c>
    </row>
    <row r="6" spans="1:13" x14ac:dyDescent="0.25">
      <c r="A6" s="6" t="s">
        <v>13</v>
      </c>
      <c r="B6" s="6"/>
      <c r="D6" s="6" t="s">
        <v>14</v>
      </c>
      <c r="E6" s="6"/>
      <c r="G6" s="6" t="s">
        <v>12</v>
      </c>
      <c r="H6" s="6"/>
      <c r="I6" s="6"/>
      <c r="K6" s="8" t="s">
        <v>16</v>
      </c>
      <c r="L6" s="9"/>
      <c r="M6" s="10"/>
    </row>
    <row r="7" spans="1:13" x14ac:dyDescent="0.25">
      <c r="A7" s="5" t="s">
        <v>10</v>
      </c>
      <c r="B7" s="5" t="s">
        <v>11</v>
      </c>
      <c r="D7" s="5" t="s">
        <v>10</v>
      </c>
      <c r="E7" s="5" t="s">
        <v>11</v>
      </c>
      <c r="G7" s="5" t="s">
        <v>10</v>
      </c>
      <c r="H7" s="5" t="s">
        <v>11</v>
      </c>
      <c r="I7" s="7" t="s">
        <v>15</v>
      </c>
      <c r="K7" s="5" t="s">
        <v>10</v>
      </c>
      <c r="L7" s="5" t="s">
        <v>11</v>
      </c>
      <c r="M7" s="7" t="s">
        <v>15</v>
      </c>
    </row>
    <row r="8" spans="1:13" x14ac:dyDescent="0.25">
      <c r="A8" s="5">
        <v>1</v>
      </c>
      <c r="B8" s="5">
        <v>1854</v>
      </c>
      <c r="D8" s="5">
        <v>1</v>
      </c>
      <c r="E8" s="5">
        <v>2720</v>
      </c>
      <c r="G8" s="5">
        <v>1</v>
      </c>
      <c r="H8" s="5">
        <v>3689</v>
      </c>
      <c r="I8" s="7">
        <v>741</v>
      </c>
      <c r="K8" s="5">
        <v>1</v>
      </c>
      <c r="L8" s="5">
        <v>2290</v>
      </c>
      <c r="M8" s="7">
        <v>350</v>
      </c>
    </row>
    <row r="9" spans="1:13" x14ac:dyDescent="0.25">
      <c r="A9" s="5">
        <v>2</v>
      </c>
      <c r="B9" s="5">
        <v>1893</v>
      </c>
      <c r="D9" s="5">
        <v>2</v>
      </c>
      <c r="E9" s="5">
        <v>2681</v>
      </c>
      <c r="G9" s="5">
        <v>2</v>
      </c>
      <c r="H9" s="5">
        <v>2792</v>
      </c>
      <c r="I9" s="7">
        <v>561</v>
      </c>
      <c r="K9" s="5">
        <v>2</v>
      </c>
      <c r="L9" s="5">
        <v>2169</v>
      </c>
      <c r="M9" s="7">
        <v>482</v>
      </c>
    </row>
    <row r="10" spans="1:13" x14ac:dyDescent="0.25">
      <c r="A10" s="5">
        <v>3</v>
      </c>
      <c r="B10" s="5">
        <v>1871</v>
      </c>
      <c r="D10" s="5">
        <v>3</v>
      </c>
      <c r="E10" s="5">
        <v>2458</v>
      </c>
      <c r="G10" s="5">
        <v>3</v>
      </c>
      <c r="H10" s="5">
        <v>3082</v>
      </c>
      <c r="I10" s="7">
        <v>877</v>
      </c>
      <c r="K10" s="5">
        <v>3</v>
      </c>
      <c r="L10" s="5">
        <v>2411</v>
      </c>
      <c r="M10" s="7">
        <v>627</v>
      </c>
    </row>
    <row r="11" spans="1:13" x14ac:dyDescent="0.25">
      <c r="A11" s="5">
        <v>4</v>
      </c>
      <c r="B11" s="5">
        <v>1860</v>
      </c>
      <c r="D11" s="5">
        <v>4</v>
      </c>
      <c r="E11" s="5">
        <v>2625</v>
      </c>
    </row>
    <row r="12" spans="1:13" x14ac:dyDescent="0.25">
      <c r="A12" s="5">
        <v>5</v>
      </c>
      <c r="B12" s="5">
        <v>1879</v>
      </c>
      <c r="D12" s="5">
        <v>5</v>
      </c>
      <c r="E12" s="5">
        <v>2711</v>
      </c>
    </row>
    <row r="13" spans="1:13" x14ac:dyDescent="0.25">
      <c r="A13" s="5">
        <v>6</v>
      </c>
      <c r="B13" s="5">
        <v>1888</v>
      </c>
      <c r="D13" s="5">
        <v>6</v>
      </c>
      <c r="E13" s="5">
        <v>2592</v>
      </c>
    </row>
    <row r="14" spans="1:13" x14ac:dyDescent="0.25">
      <c r="A14" s="5">
        <v>7</v>
      </c>
      <c r="B14" s="5">
        <v>1846</v>
      </c>
      <c r="D14" s="5">
        <v>7</v>
      </c>
      <c r="E14" s="5">
        <v>2554</v>
      </c>
    </row>
    <row r="15" spans="1:13" x14ac:dyDescent="0.25">
      <c r="A15" s="5">
        <v>8</v>
      </c>
      <c r="B15" s="5">
        <v>1866</v>
      </c>
      <c r="D15" s="5">
        <v>8</v>
      </c>
      <c r="E15" s="5">
        <v>2775</v>
      </c>
    </row>
    <row r="16" spans="1:13" x14ac:dyDescent="0.25">
      <c r="A16" s="5">
        <v>9</v>
      </c>
      <c r="B16" s="5">
        <v>1907</v>
      </c>
      <c r="D16" s="5">
        <v>9</v>
      </c>
      <c r="E16" s="5">
        <v>2962</v>
      </c>
    </row>
    <row r="17" spans="1:5" x14ac:dyDescent="0.25">
      <c r="A17" s="5">
        <v>10</v>
      </c>
      <c r="B17" s="5">
        <v>1809</v>
      </c>
      <c r="D17" s="5">
        <v>10</v>
      </c>
      <c r="E17" s="5">
        <v>2338</v>
      </c>
    </row>
  </sheetData>
  <mergeCells count="4">
    <mergeCell ref="A6:B6"/>
    <mergeCell ref="D6:E6"/>
    <mergeCell ref="G6:I6"/>
    <mergeCell ref="K6:M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微球4.5</vt:lpstr>
      <vt:lpstr>微球6</vt:lpstr>
      <vt:lpstr>胶囊4.5</vt:lpstr>
      <vt:lpstr>胶囊6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子墨 姚</cp:lastModifiedBy>
  <dcterms:created xsi:type="dcterms:W3CDTF">2025-11-14T06:00:15Z</dcterms:created>
  <dcterms:modified xsi:type="dcterms:W3CDTF">2025-11-29T15:52:03Z</dcterms:modified>
</cp:coreProperties>
</file>